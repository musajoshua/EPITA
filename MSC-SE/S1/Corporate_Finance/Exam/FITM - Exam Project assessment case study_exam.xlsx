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ylvieappriou/Documents/Sylvie/EPITA/2025 Fall/Corporate Finance/Exam/"/>
    </mc:Choice>
  </mc:AlternateContent>
  <xr:revisionPtr revIDLastSave="0" documentId="13_ncr:1_{9914E48D-0A0F-BD45-95D3-12EAD71788BD}" xr6:coauthVersionLast="47" xr6:coauthVersionMax="47" xr10:uidLastSave="{00000000-0000-0000-0000-000000000000}"/>
  <bookViews>
    <workbookView xWindow="0" yWindow="740" windowWidth="28440" windowHeight="15180" tabRatio="500" xr2:uid="{00000000-000D-0000-FFFF-FFFF00000000}"/>
  </bookViews>
  <sheets>
    <sheet name="Project assessment" sheetId="5" r:id="rId1"/>
  </sheets>
  <definedNames>
    <definedName name="_xlnm.Print_Area" localSheetId="0">'Project assessment'!$A$1:$Q$49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6" i="5" l="1"/>
  <c r="E46" i="5"/>
  <c r="G46" i="5"/>
  <c r="I46" i="5"/>
  <c r="J46" i="5" l="1"/>
  <c r="F46" i="5"/>
  <c r="H46" i="5"/>
  <c r="D46" i="5"/>
</calcChain>
</file>

<file path=xl/sharedStrings.xml><?xml version="1.0" encoding="utf-8"?>
<sst xmlns="http://schemas.openxmlformats.org/spreadsheetml/2006/main" count="120" uniqueCount="64">
  <si>
    <t>Instructions</t>
  </si>
  <si>
    <t>International Masters</t>
  </si>
  <si>
    <t>Line Items</t>
  </si>
  <si>
    <t>TOTAL</t>
  </si>
  <si>
    <t>▶</t>
  </si>
  <si>
    <t>Provide your own project priority list, based on your above assessment:</t>
  </si>
  <si>
    <t>Sales growth opportunity</t>
  </si>
  <si>
    <t>Alignment to strategy</t>
  </si>
  <si>
    <t>Risk level</t>
  </si>
  <si>
    <t>Overall cost level</t>
  </si>
  <si>
    <t>Payback period</t>
  </si>
  <si>
    <t>Net Present Value (NPV)</t>
  </si>
  <si>
    <t>Weighed Rating</t>
  </si>
  <si>
    <t>Rating</t>
  </si>
  <si>
    <t>Web site revamping project</t>
  </si>
  <si>
    <t>Mobile devices project</t>
  </si>
  <si>
    <t>CRM project</t>
  </si>
  <si>
    <t>BI project</t>
  </si>
  <si>
    <t>Rating is: 1 = Low, 5 = Middle, 9 = Top (NOTE: Risk Level of 9 means low risk!)</t>
  </si>
  <si>
    <t>▷</t>
  </si>
  <si>
    <t xml:space="preserve">Weighting is as follows: NPV = 2, Payback period = 3, Cost level = 1, Risk level = 2, Strategic alignment = 4 and sales growth opportunity = 5 </t>
  </si>
  <si>
    <t>Non financial assessment criteria are: Risk, criticality, alignment to strategy, sales growth opportunity</t>
  </si>
  <si>
    <t>Financial assessment criteria are: NPV, Payback period and overall cost level</t>
  </si>
  <si>
    <t>Project assessment framework</t>
  </si>
  <si>
    <t>Full NPV = $62,000 (2 years of even cash inflows) ; Payback period = 6 months ; Overall cost = $10,000.</t>
  </si>
  <si>
    <t xml:space="preserve">The real opportunity in this project is that the new web site will launch your "on line" sales activities, which is expected to boost sales by 15% within 2 years, as per the Sales Manager plan. </t>
  </si>
  <si>
    <t>Project seems easy as most of the work required is to refresh and modernize the content of your existing web site. You have highly skilled web developpers on your team.</t>
  </si>
  <si>
    <t>If you were to go ahead with this project, you would need to mobilize your entire IT team, which would push other projects off for lack of available IT resources.</t>
  </si>
  <si>
    <t>Technically, you really need to conduct a full audit of your IT infrastructure before you can, for sure, have confirmation on the feasibility of this project.</t>
  </si>
  <si>
    <t>Project sounds like fun and the sales team is constantly asking for mobile devices; However, you are very unsure about the strategic alignment and value creation this project could generate.</t>
  </si>
  <si>
    <t>Full NPV = $120,000 (4 years of even cash inflows), after 2 years, NPV is $73,750 ; Payback period = 1 year ; Overall cost = $27,500.</t>
  </si>
  <si>
    <t>Part of the strategic decision to acquire Tech. HUF was to 1) acquire CRM technology and 2) leverage your respective client/prospect portfolios to accelerate the company's sales development.</t>
  </si>
  <si>
    <t>You CEO keeps saying that he wants to get more visibility on sales prospects and the sales opportunity pipeline.</t>
  </si>
  <si>
    <t>You have specialists on your new extended team who know the Tech. HUF CRM solution inside out and have access to many other CRM specialists at Tech. HUF.</t>
  </si>
  <si>
    <t>Full NPV = $75,000 (6 years of even cash inflows), after 2 years, NPV is -$68,333 ; Payback period = 4 years ; Overall cost = $140,000.</t>
  </si>
  <si>
    <t>Your CEO seems unclear about the benefits he will get out of a BI solution. He seems to have other priorities.</t>
  </si>
  <si>
    <t xml:space="preserve">You are too new to the company and unsure about the quality/robustess of your data warehouse. </t>
  </si>
  <si>
    <t xml:space="preserve">You already successfully Project Managed the implementation of a BI solution in your previous company. Such project requires very strong executive engagement &amp; a robust data warehouse. </t>
  </si>
  <si>
    <t>Your industry requires fast return on investment, usually within 2 years.</t>
  </si>
  <si>
    <t>and need to remotely integrate new team members from Tech. HUF, based in India.</t>
  </si>
  <si>
    <t>You are new to New Corp. and haven't yet had time to fully experience the corporate culture, the reaction towards system implementation. You don't know your team very well yet,</t>
  </si>
  <si>
    <t>General context</t>
  </si>
  <si>
    <t>Based on high level project portfolio information below, fill in the project assessment template below:</t>
  </si>
  <si>
    <t>Project assessment case study</t>
  </si>
  <si>
    <t>Project assessment</t>
  </si>
  <si>
    <t>Tech. HUF, recently acquired is specialized in development and implementation of their own CRM solution.</t>
  </si>
  <si>
    <t>Enter your answers here</t>
  </si>
  <si>
    <t>Which project appears to provide the greatest sales growth opportunity ?</t>
  </si>
  <si>
    <t>Answer the 5 questions below :</t>
  </si>
  <si>
    <t>Which project appears to be the worse candidate and why ?</t>
  </si>
  <si>
    <t>Corporate Finance</t>
  </si>
  <si>
    <t>Full NPV = $7,000 (8 years of even cash inflows), after 2 years, NPV is -$13,175 ; Payback period = 8 years ; Overall cost = $45,700.</t>
  </si>
  <si>
    <t>1.</t>
  </si>
  <si>
    <t>2.</t>
  </si>
  <si>
    <t>3.</t>
  </si>
  <si>
    <t>Priority 1 project is :</t>
  </si>
  <si>
    <t>Priority 2 project is :</t>
  </si>
  <si>
    <t>Priority 3 project is :</t>
  </si>
  <si>
    <t>Priority 4 project is :</t>
  </si>
  <si>
    <t>Justify your answers in a few words :</t>
  </si>
  <si>
    <t>Which project appears the most risky to you ? How would you qualify the type of risk ?</t>
  </si>
  <si>
    <t>Which project appears to be least aligned to company strategy ?</t>
  </si>
  <si>
    <t>Which are the 2 most important criteria for this company for deciding on projects priority ?</t>
  </si>
  <si>
    <t>Fall 2025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</si>
</sst>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rgb="FF143490"/>
      <name val="Calibri"/>
      <family val="2"/>
      <scheme val="minor"/>
    </font>
    <font>
      <sz val="12"/>
      <color theme="1"/>
      <name val="Menlo Regular"/>
      <family val="2"/>
    </font>
    <font>
      <b/>
      <u/>
      <sz val="12"/>
      <color theme="3"/>
      <name val="Calibri"/>
      <family val="2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b/>
      <sz val="12"/>
      <color theme="3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rgb="FF143490"/>
      <name val="Calibri"/>
      <family val="2"/>
      <scheme val="minor"/>
    </font>
    <font>
      <b/>
      <u/>
      <sz val="12"/>
      <color theme="4"/>
      <name val="Calibri (Body)"/>
    </font>
    <font>
      <b/>
      <sz val="12"/>
      <color theme="4"/>
      <name val="Calibri (Body)"/>
    </font>
    <font>
      <b/>
      <sz val="14"/>
      <color theme="4"/>
      <name val="Calibri (Body)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6" tint="0.79998168889431442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u/>
      <sz val="16"/>
      <color theme="4"/>
      <name val="Calibri"/>
      <family val="2"/>
      <scheme val="minor"/>
    </font>
    <font>
      <b/>
      <u/>
      <sz val="14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143490"/>
      </left>
      <right/>
      <top style="medium">
        <color rgb="FF143490"/>
      </top>
      <bottom style="medium">
        <color rgb="FF143490"/>
      </bottom>
      <diagonal/>
    </border>
    <border>
      <left/>
      <right/>
      <top style="medium">
        <color rgb="FF143490"/>
      </top>
      <bottom style="medium">
        <color rgb="FF143490"/>
      </bottom>
      <diagonal/>
    </border>
    <border>
      <left/>
      <right style="medium">
        <color rgb="FF143490"/>
      </right>
      <top style="medium">
        <color rgb="FF143490"/>
      </top>
      <bottom style="medium">
        <color rgb="FF14349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theme="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4"/>
      </right>
      <top/>
      <bottom style="thin">
        <color auto="1"/>
      </bottom>
      <diagonal/>
    </border>
    <border>
      <left style="thick">
        <color theme="4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theme="4"/>
      </right>
      <top style="thin">
        <color auto="1"/>
      </top>
      <bottom style="double">
        <color auto="1"/>
      </bottom>
      <diagonal/>
    </border>
    <border>
      <left style="thick">
        <color theme="4"/>
      </left>
      <right style="thin">
        <color auto="1"/>
      </right>
      <top/>
      <bottom style="thick">
        <color theme="4"/>
      </bottom>
      <diagonal/>
    </border>
    <border>
      <left style="thin">
        <color auto="1"/>
      </left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 style="thin">
        <color auto="1"/>
      </right>
      <top/>
      <bottom style="thin">
        <color auto="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ck">
        <color theme="0"/>
      </right>
      <top style="medium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ck">
        <color theme="4"/>
      </bottom>
      <diagonal/>
    </border>
  </borders>
  <cellStyleXfs count="18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7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/>
    </xf>
    <xf numFmtId="0" fontId="1" fillId="0" borderId="1" xfId="0" applyFont="1" applyBorder="1"/>
    <xf numFmtId="0" fontId="0" fillId="0" borderId="8" xfId="0" applyBorder="1"/>
    <xf numFmtId="0" fontId="10" fillId="0" borderId="0" xfId="0" applyFont="1"/>
    <xf numFmtId="0" fontId="0" fillId="0" borderId="9" xfId="0" applyBorder="1"/>
    <xf numFmtId="0" fontId="0" fillId="0" borderId="10" xfId="0" applyBorder="1"/>
    <xf numFmtId="0" fontId="10" fillId="0" borderId="0" xfId="0" applyFont="1" applyAlignment="1">
      <alignment horizontal="right" wrapText="1"/>
    </xf>
    <xf numFmtId="0" fontId="12" fillId="0" borderId="0" xfId="0" applyFont="1" applyAlignment="1">
      <alignment horizontal="left"/>
    </xf>
    <xf numFmtId="0" fontId="13" fillId="0" borderId="0" xfId="0" applyFont="1"/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7" fillId="2" borderId="11" xfId="0" applyFont="1" applyFill="1" applyBorder="1" applyAlignment="1">
      <alignment wrapText="1"/>
    </xf>
    <xf numFmtId="1" fontId="1" fillId="0" borderId="17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17" fillId="2" borderId="22" xfId="0" applyFont="1" applyFill="1" applyBorder="1" applyAlignment="1">
      <alignment horizontal="center" wrapText="1"/>
    </xf>
    <xf numFmtId="0" fontId="17" fillId="2" borderId="23" xfId="0" applyFont="1" applyFill="1" applyBorder="1" applyAlignment="1">
      <alignment horizontal="center" wrapText="1"/>
    </xf>
    <xf numFmtId="1" fontId="1" fillId="0" borderId="27" xfId="0" applyNumberFormat="1" applyFont="1" applyBorder="1" applyAlignment="1">
      <alignment horizontal="center"/>
    </xf>
    <xf numFmtId="1" fontId="11" fillId="0" borderId="18" xfId="0" applyNumberFormat="1" applyFont="1" applyBorder="1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right" vertical="top"/>
    </xf>
    <xf numFmtId="0" fontId="22" fillId="0" borderId="0" xfId="0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vertical="top"/>
    </xf>
    <xf numFmtId="1" fontId="0" fillId="3" borderId="19" xfId="0" applyNumberFormat="1" applyFill="1" applyBorder="1" applyAlignment="1">
      <alignment horizontal="center"/>
    </xf>
    <xf numFmtId="1" fontId="19" fillId="3" borderId="14" xfId="0" applyNumberFormat="1" applyFont="1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0" fillId="3" borderId="25" xfId="0" applyNumberFormat="1" applyFill="1" applyBorder="1" applyAlignment="1">
      <alignment horizontal="center"/>
    </xf>
    <xf numFmtId="1" fontId="0" fillId="3" borderId="13" xfId="0" applyNumberFormat="1" applyFill="1" applyBorder="1" applyAlignment="1">
      <alignment horizontal="center"/>
    </xf>
    <xf numFmtId="1" fontId="0" fillId="3" borderId="13" xfId="0" quotePrefix="1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19" fillId="3" borderId="16" xfId="0" applyNumberFormat="1" applyFon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1" fontId="0" fillId="3" borderId="26" xfId="0" applyNumberForma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5" xfId="0" applyFill="1" applyBorder="1"/>
    <xf numFmtId="0" fontId="6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</cellXfs>
  <cellStyles count="1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131226</xdr:colOff>
      <xdr:row>0</xdr:row>
      <xdr:rowOff>63500</xdr:rowOff>
    </xdr:from>
    <xdr:to>
      <xdr:col>0</xdr:col>
      <xdr:colOff>1660455</xdr:colOff>
      <xdr:row>4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26" y="63500"/>
          <a:ext cx="691029" cy="86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0"/>
  <sheetViews>
    <sheetView showGridLines="0" tabSelected="1" topLeftCell="A42" zoomScale="150" zoomScaleNormal="150" zoomScalePageLayoutView="150" workbookViewId="0">
      <selection activeCell="B3" sqref="B3:Q3"/>
    </sheetView>
  </sheetViews>
  <sheetFormatPr baseColWidth="10" defaultRowHeight="16"/>
  <cols>
    <col min="1" max="1" width="24" customWidth="1"/>
    <col min="2" max="2" width="22.1640625" customWidth="1"/>
    <col min="6" max="6" width="10.83203125" customWidth="1"/>
    <col min="11" max="11" width="2.1640625" customWidth="1"/>
    <col min="12" max="14" width="22.6640625" customWidth="1"/>
  </cols>
  <sheetData>
    <row r="1" spans="1:17">
      <c r="A1" t="s">
        <v>44</v>
      </c>
      <c r="B1" s="49" t="s">
        <v>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>
      <c r="B2" s="49" t="s">
        <v>63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>
      <c r="B3" s="49" t="s">
        <v>50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ht="17" thickBot="1"/>
    <row r="5" spans="1:17" ht="22" thickBot="1">
      <c r="B5" s="53" t="s">
        <v>43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5"/>
    </row>
    <row r="6" spans="1:17" ht="21">
      <c r="A6" s="36" t="s">
        <v>0</v>
      </c>
      <c r="B6" s="33"/>
      <c r="M6" s="1"/>
    </row>
    <row r="7" spans="1:17" s="1" customFormat="1" ht="19">
      <c r="A7" s="34" t="s">
        <v>52</v>
      </c>
      <c r="B7" s="37" t="s">
        <v>42</v>
      </c>
      <c r="F7" s="22"/>
    </row>
    <row r="8" spans="1:17" ht="19">
      <c r="A8" s="5" t="s">
        <v>4</v>
      </c>
      <c r="B8" s="21" t="s">
        <v>41</v>
      </c>
      <c r="F8" s="2"/>
    </row>
    <row r="9" spans="1:17" ht="19">
      <c r="B9" s="5" t="s">
        <v>19</v>
      </c>
      <c r="C9" s="4" t="s">
        <v>40</v>
      </c>
      <c r="F9" s="2"/>
    </row>
    <row r="10" spans="1:17" ht="19">
      <c r="B10" s="5" t="s">
        <v>19</v>
      </c>
      <c r="C10" s="4" t="s">
        <v>39</v>
      </c>
      <c r="F10" s="2"/>
    </row>
    <row r="11" spans="1:17" ht="19">
      <c r="B11" s="5" t="s">
        <v>19</v>
      </c>
      <c r="C11" s="4" t="s">
        <v>45</v>
      </c>
      <c r="F11" s="2"/>
    </row>
    <row r="12" spans="1:17" ht="19">
      <c r="B12" s="5" t="s">
        <v>19</v>
      </c>
      <c r="C12" s="4" t="s">
        <v>38</v>
      </c>
      <c r="F12" s="2"/>
    </row>
    <row r="13" spans="1:17">
      <c r="A13" s="5" t="s">
        <v>4</v>
      </c>
      <c r="B13" s="21" t="s">
        <v>17</v>
      </c>
      <c r="F13" s="4"/>
    </row>
    <row r="14" spans="1:17" ht="19">
      <c r="B14" s="5" t="s">
        <v>19</v>
      </c>
      <c r="C14" s="4" t="s">
        <v>37</v>
      </c>
      <c r="F14" s="2"/>
    </row>
    <row r="15" spans="1:17" ht="19">
      <c r="B15" s="5" t="s">
        <v>19</v>
      </c>
      <c r="C15" s="4" t="s">
        <v>36</v>
      </c>
      <c r="F15" s="2"/>
    </row>
    <row r="16" spans="1:17" ht="19">
      <c r="B16" s="5" t="s">
        <v>19</v>
      </c>
      <c r="C16" s="4" t="s">
        <v>35</v>
      </c>
      <c r="F16" s="2"/>
    </row>
    <row r="17" spans="1:6">
      <c r="A17" s="5"/>
      <c r="B17" s="5" t="s">
        <v>19</v>
      </c>
      <c r="C17" t="s">
        <v>34</v>
      </c>
      <c r="F17" s="4"/>
    </row>
    <row r="18" spans="1:6">
      <c r="A18" s="5" t="s">
        <v>4</v>
      </c>
      <c r="B18" s="21" t="s">
        <v>16</v>
      </c>
      <c r="F18" s="4"/>
    </row>
    <row r="19" spans="1:6">
      <c r="A19" s="5"/>
      <c r="B19" s="5" t="s">
        <v>19</v>
      </c>
      <c r="C19" s="4" t="s">
        <v>33</v>
      </c>
      <c r="F19" s="4"/>
    </row>
    <row r="20" spans="1:6">
      <c r="A20" s="5"/>
      <c r="B20" s="5" t="s">
        <v>19</v>
      </c>
      <c r="C20" s="4" t="s">
        <v>32</v>
      </c>
      <c r="F20" s="4"/>
    </row>
    <row r="21" spans="1:6">
      <c r="A21" s="5"/>
      <c r="B21" s="5" t="s">
        <v>19</v>
      </c>
      <c r="C21" s="4" t="s">
        <v>31</v>
      </c>
      <c r="F21" s="4"/>
    </row>
    <row r="22" spans="1:6">
      <c r="A22" s="5"/>
      <c r="B22" s="5" t="s">
        <v>19</v>
      </c>
      <c r="C22" t="s">
        <v>30</v>
      </c>
      <c r="F22" s="4"/>
    </row>
    <row r="23" spans="1:6">
      <c r="A23" s="5" t="s">
        <v>4</v>
      </c>
      <c r="B23" s="21" t="s">
        <v>15</v>
      </c>
      <c r="F23" s="4"/>
    </row>
    <row r="24" spans="1:6">
      <c r="A24" s="5"/>
      <c r="B24" s="5" t="s">
        <v>19</v>
      </c>
      <c r="C24" s="4" t="s">
        <v>29</v>
      </c>
      <c r="F24" s="4"/>
    </row>
    <row r="25" spans="1:6">
      <c r="A25" s="5"/>
      <c r="B25" s="5" t="s">
        <v>19</v>
      </c>
      <c r="C25" s="4" t="s">
        <v>28</v>
      </c>
      <c r="F25" s="4"/>
    </row>
    <row r="26" spans="1:6">
      <c r="A26" s="5"/>
      <c r="B26" s="5" t="s">
        <v>19</v>
      </c>
      <c r="C26" s="4" t="s">
        <v>27</v>
      </c>
      <c r="F26" s="4"/>
    </row>
    <row r="27" spans="1:6">
      <c r="A27" s="5"/>
      <c r="B27" s="5" t="s">
        <v>19</v>
      </c>
      <c r="C27" t="s">
        <v>51</v>
      </c>
      <c r="F27" s="4"/>
    </row>
    <row r="28" spans="1:6">
      <c r="A28" s="5" t="s">
        <v>4</v>
      </c>
      <c r="B28" s="21" t="s">
        <v>14</v>
      </c>
      <c r="F28" s="4"/>
    </row>
    <row r="29" spans="1:6">
      <c r="A29" s="5"/>
      <c r="B29" s="5" t="s">
        <v>19</v>
      </c>
      <c r="C29" t="s">
        <v>26</v>
      </c>
      <c r="F29" s="4"/>
    </row>
    <row r="30" spans="1:6">
      <c r="A30" s="5"/>
      <c r="B30" s="5" t="s">
        <v>19</v>
      </c>
      <c r="C30" t="s">
        <v>25</v>
      </c>
      <c r="F30" s="4"/>
    </row>
    <row r="31" spans="1:6">
      <c r="A31" s="5"/>
      <c r="B31" s="5" t="s">
        <v>19</v>
      </c>
      <c r="C31" t="s">
        <v>24</v>
      </c>
      <c r="F31" s="4"/>
    </row>
    <row r="32" spans="1:6">
      <c r="A32" s="5" t="s">
        <v>4</v>
      </c>
      <c r="B32" s="21" t="s">
        <v>23</v>
      </c>
      <c r="F32" s="4"/>
    </row>
    <row r="33" spans="1:15">
      <c r="B33" s="5" t="s">
        <v>19</v>
      </c>
      <c r="C33" s="4" t="s">
        <v>22</v>
      </c>
      <c r="F33" s="4"/>
    </row>
    <row r="34" spans="1:15">
      <c r="B34" s="5" t="s">
        <v>19</v>
      </c>
      <c r="C34" s="4" t="s">
        <v>21</v>
      </c>
      <c r="F34" s="4"/>
    </row>
    <row r="35" spans="1:15">
      <c r="B35" s="5" t="s">
        <v>19</v>
      </c>
      <c r="C35" s="4" t="s">
        <v>20</v>
      </c>
      <c r="F35" s="4"/>
    </row>
    <row r="36" spans="1:15">
      <c r="B36" s="5" t="s">
        <v>19</v>
      </c>
      <c r="C36" s="4" t="s">
        <v>18</v>
      </c>
      <c r="F36" s="4"/>
    </row>
    <row r="37" spans="1:15" ht="17" thickBot="1"/>
    <row r="38" spans="1:15" s="3" customFormat="1" ht="46" customHeight="1" thickTop="1" thickBot="1">
      <c r="B38"/>
      <c r="C38" s="50" t="s">
        <v>17</v>
      </c>
      <c r="D38" s="52"/>
      <c r="E38" s="50" t="s">
        <v>16</v>
      </c>
      <c r="F38" s="52"/>
      <c r="G38" s="50" t="s">
        <v>15</v>
      </c>
      <c r="H38" s="51"/>
      <c r="I38" s="50" t="s">
        <v>14</v>
      </c>
      <c r="J38" s="52"/>
      <c r="K38" s="6"/>
      <c r="L38" s="10"/>
      <c r="M38" s="10"/>
      <c r="N38" s="7"/>
      <c r="O38" s="7"/>
    </row>
    <row r="39" spans="1:15" s="3" customFormat="1" ht="35" thickBot="1">
      <c r="A39" s="20"/>
      <c r="B39" s="26" t="s">
        <v>2</v>
      </c>
      <c r="C39" s="29" t="s">
        <v>13</v>
      </c>
      <c r="D39" s="30" t="s">
        <v>12</v>
      </c>
      <c r="E39" s="29" t="s">
        <v>13</v>
      </c>
      <c r="F39" s="30" t="s">
        <v>12</v>
      </c>
      <c r="G39" s="29" t="s">
        <v>13</v>
      </c>
      <c r="H39" s="30" t="s">
        <v>12</v>
      </c>
      <c r="I39" s="29" t="s">
        <v>13</v>
      </c>
      <c r="J39" s="30" t="s">
        <v>12</v>
      </c>
      <c r="K39" s="6"/>
      <c r="L39" s="10"/>
      <c r="M39" s="10"/>
      <c r="N39" s="10"/>
      <c r="O39" s="7"/>
    </row>
    <row r="40" spans="1:15">
      <c r="A40" s="17"/>
      <c r="B40" s="19" t="s">
        <v>11</v>
      </c>
      <c r="C40" s="39"/>
      <c r="D40" s="40"/>
      <c r="E40" s="39"/>
      <c r="F40" s="41"/>
      <c r="G40" s="39"/>
      <c r="H40" s="42"/>
      <c r="I40" s="39"/>
      <c r="J40" s="41"/>
      <c r="K40" s="8"/>
      <c r="L40" s="10"/>
      <c r="M40" s="10"/>
      <c r="N40" s="10"/>
      <c r="O40" s="10"/>
    </row>
    <row r="41" spans="1:15">
      <c r="A41" s="17"/>
      <c r="B41" s="18" t="s">
        <v>10</v>
      </c>
      <c r="C41" s="43"/>
      <c r="D41" s="40"/>
      <c r="E41" s="43"/>
      <c r="F41" s="41"/>
      <c r="G41" s="43"/>
      <c r="H41" s="42"/>
      <c r="I41" s="43"/>
      <c r="J41" s="41"/>
      <c r="K41" s="8"/>
      <c r="L41" s="10"/>
      <c r="M41" s="10"/>
      <c r="N41" s="10"/>
      <c r="O41" s="8"/>
    </row>
    <row r="42" spans="1:15">
      <c r="A42" s="17"/>
      <c r="B42" s="18" t="s">
        <v>9</v>
      </c>
      <c r="C42" s="44"/>
      <c r="D42" s="40"/>
      <c r="E42" s="43"/>
      <c r="F42" s="41"/>
      <c r="G42" s="43"/>
      <c r="H42" s="42"/>
      <c r="I42" s="43"/>
      <c r="J42" s="41"/>
      <c r="K42" s="8"/>
      <c r="L42" s="10"/>
      <c r="M42" s="10"/>
      <c r="N42" s="10"/>
      <c r="O42" s="8"/>
    </row>
    <row r="43" spans="1:15">
      <c r="A43" s="17"/>
      <c r="B43" s="18" t="s">
        <v>8</v>
      </c>
      <c r="C43" s="43"/>
      <c r="D43" s="40"/>
      <c r="E43" s="43"/>
      <c r="F43" s="41"/>
      <c r="G43" s="43"/>
      <c r="H43" s="42"/>
      <c r="I43" s="43"/>
      <c r="J43" s="41"/>
      <c r="K43" s="8"/>
      <c r="L43" s="10"/>
      <c r="M43" s="10"/>
      <c r="N43" s="8"/>
      <c r="O43" s="8"/>
    </row>
    <row r="44" spans="1:15">
      <c r="A44" s="17"/>
      <c r="B44" s="18" t="s">
        <v>7</v>
      </c>
      <c r="C44" s="43"/>
      <c r="D44" s="40"/>
      <c r="E44" s="43"/>
      <c r="F44" s="41"/>
      <c r="G44" s="43"/>
      <c r="H44" s="42"/>
      <c r="I44" s="43"/>
      <c r="J44" s="41"/>
      <c r="K44" s="8"/>
      <c r="L44" s="10"/>
      <c r="M44" s="10"/>
      <c r="N44" s="8"/>
      <c r="O44" s="8"/>
    </row>
    <row r="45" spans="1:15" ht="17" thickBot="1">
      <c r="A45" s="17"/>
      <c r="B45" s="16" t="s">
        <v>6</v>
      </c>
      <c r="C45" s="45"/>
      <c r="D45" s="46"/>
      <c r="E45" s="45"/>
      <c r="F45" s="47"/>
      <c r="G45" s="45"/>
      <c r="H45" s="48"/>
      <c r="I45" s="45"/>
      <c r="J45" s="47"/>
      <c r="K45" s="8"/>
      <c r="L45" s="10"/>
      <c r="M45" s="10"/>
      <c r="N45" s="8"/>
      <c r="O45" s="8"/>
    </row>
    <row r="46" spans="1:15" s="1" customFormat="1" ht="18" thickTop="1" thickBot="1">
      <c r="B46" s="15" t="s">
        <v>3</v>
      </c>
      <c r="C46" s="27">
        <f t="shared" ref="C46:J46" si="0">SUM(C40:C45)</f>
        <v>0</v>
      </c>
      <c r="D46" s="28">
        <f t="shared" si="0"/>
        <v>0</v>
      </c>
      <c r="E46" s="27">
        <f t="shared" si="0"/>
        <v>0</v>
      </c>
      <c r="F46" s="28">
        <f t="shared" si="0"/>
        <v>0</v>
      </c>
      <c r="G46" s="27">
        <f t="shared" si="0"/>
        <v>0</v>
      </c>
      <c r="H46" s="31">
        <f t="shared" si="0"/>
        <v>0</v>
      </c>
      <c r="I46" s="27">
        <f t="shared" si="0"/>
        <v>0</v>
      </c>
      <c r="J46" s="32">
        <f t="shared" si="0"/>
        <v>0</v>
      </c>
      <c r="K46" s="14"/>
      <c r="L46" s="10"/>
      <c r="M46" s="10"/>
      <c r="N46" s="9"/>
      <c r="O46" s="9"/>
    </row>
    <row r="47" spans="1:15">
      <c r="N47" s="8"/>
      <c r="O47" s="8"/>
    </row>
    <row r="48" spans="1:15" s="23" customFormat="1" ht="19">
      <c r="A48" s="35" t="s">
        <v>53</v>
      </c>
      <c r="B48" s="38" t="s">
        <v>5</v>
      </c>
      <c r="F48" s="24"/>
      <c r="H48" s="61"/>
      <c r="I48" s="61"/>
    </row>
    <row r="49" spans="1:15" s="10" customFormat="1">
      <c r="A49" s="12" t="s">
        <v>4</v>
      </c>
      <c r="B49" s="13" t="s">
        <v>55</v>
      </c>
      <c r="F49" s="13"/>
      <c r="H49" s="56" t="s">
        <v>46</v>
      </c>
      <c r="I49" s="57"/>
      <c r="J49" s="58"/>
      <c r="K49" s="58"/>
      <c r="L49" s="58"/>
      <c r="M49" s="58"/>
      <c r="N49" s="58"/>
      <c r="O49" s="59"/>
    </row>
    <row r="50" spans="1:15" s="10" customFormat="1">
      <c r="A50" s="12" t="s">
        <v>4</v>
      </c>
      <c r="B50" s="13" t="s">
        <v>56</v>
      </c>
      <c r="F50" s="13"/>
      <c r="H50" s="56" t="s">
        <v>46</v>
      </c>
      <c r="I50" s="57"/>
      <c r="J50" s="58"/>
      <c r="K50" s="58"/>
      <c r="L50" s="58"/>
      <c r="M50" s="58"/>
      <c r="N50" s="58"/>
      <c r="O50" s="59"/>
    </row>
    <row r="51" spans="1:15">
      <c r="A51" s="12" t="s">
        <v>4</v>
      </c>
      <c r="B51" s="13" t="s">
        <v>57</v>
      </c>
      <c r="H51" s="56" t="s">
        <v>46</v>
      </c>
      <c r="I51" s="57"/>
      <c r="J51" s="58"/>
      <c r="K51" s="58"/>
      <c r="L51" s="58"/>
      <c r="M51" s="58"/>
      <c r="N51" s="58"/>
      <c r="O51" s="59"/>
    </row>
    <row r="52" spans="1:15">
      <c r="A52" s="12" t="s">
        <v>4</v>
      </c>
      <c r="B52" s="13" t="s">
        <v>58</v>
      </c>
      <c r="H52" s="56" t="s">
        <v>46</v>
      </c>
      <c r="I52" s="57"/>
      <c r="J52" s="58"/>
      <c r="K52" s="58"/>
      <c r="L52" s="58"/>
      <c r="M52" s="58"/>
      <c r="N52" s="58"/>
      <c r="O52" s="59"/>
    </row>
    <row r="53" spans="1:15">
      <c r="A53" s="12" t="s">
        <v>4</v>
      </c>
      <c r="B53" s="13" t="s">
        <v>59</v>
      </c>
      <c r="H53" s="56" t="s">
        <v>46</v>
      </c>
      <c r="I53" s="57"/>
      <c r="J53" s="58"/>
      <c r="K53" s="58"/>
      <c r="L53" s="58"/>
      <c r="M53" s="58"/>
      <c r="N53" s="58"/>
      <c r="O53" s="59"/>
    </row>
    <row r="54" spans="1:15">
      <c r="A54" s="12"/>
      <c r="B54" s="13"/>
      <c r="J54" s="14"/>
      <c r="K54" s="14"/>
    </row>
    <row r="55" spans="1:15" s="11" customFormat="1" ht="19">
      <c r="A55" s="35" t="s">
        <v>54</v>
      </c>
      <c r="B55" s="38" t="s">
        <v>48</v>
      </c>
      <c r="F55" s="25"/>
      <c r="H55" s="60"/>
      <c r="I55" s="60"/>
      <c r="J55" s="14"/>
      <c r="N55" s="14"/>
      <c r="O55" s="14"/>
    </row>
    <row r="56" spans="1:15">
      <c r="A56" s="12" t="s">
        <v>4</v>
      </c>
      <c r="B56" s="13" t="s">
        <v>62</v>
      </c>
      <c r="H56" s="56" t="s">
        <v>46</v>
      </c>
      <c r="I56" s="57"/>
      <c r="J56" s="58"/>
      <c r="K56" s="58"/>
      <c r="L56" s="58"/>
      <c r="M56" s="58"/>
      <c r="N56" s="58"/>
      <c r="O56" s="59"/>
    </row>
    <row r="57" spans="1:15" s="10" customFormat="1">
      <c r="A57" s="12" t="s">
        <v>4</v>
      </c>
      <c r="B57" s="13" t="s">
        <v>47</v>
      </c>
      <c r="F57" s="13"/>
      <c r="H57" s="56" t="s">
        <v>46</v>
      </c>
      <c r="I57" s="57"/>
      <c r="J57" s="58"/>
      <c r="K57" s="58"/>
      <c r="L57" s="58"/>
      <c r="M57" s="58"/>
      <c r="N57" s="58"/>
      <c r="O57" s="59"/>
    </row>
    <row r="58" spans="1:15" s="10" customFormat="1">
      <c r="A58" s="12" t="s">
        <v>4</v>
      </c>
      <c r="B58" s="13" t="s">
        <v>61</v>
      </c>
      <c r="F58" s="13"/>
      <c r="H58" s="56" t="s">
        <v>46</v>
      </c>
      <c r="I58" s="57"/>
      <c r="J58" s="58"/>
      <c r="K58" s="58"/>
      <c r="L58" s="58"/>
      <c r="M58" s="58"/>
      <c r="N58" s="58"/>
      <c r="O58" s="59"/>
    </row>
    <row r="59" spans="1:15" s="10" customFormat="1">
      <c r="A59" s="12" t="s">
        <v>4</v>
      </c>
      <c r="B59" s="13" t="s">
        <v>60</v>
      </c>
      <c r="F59" s="13"/>
      <c r="H59" s="56" t="s">
        <v>46</v>
      </c>
      <c r="I59" s="57"/>
      <c r="J59" s="58"/>
      <c r="K59" s="58"/>
      <c r="L59" s="58"/>
      <c r="M59" s="58"/>
      <c r="N59" s="58"/>
      <c r="O59" s="59"/>
    </row>
    <row r="60" spans="1:15" s="10" customFormat="1">
      <c r="A60" s="12" t="s">
        <v>4</v>
      </c>
      <c r="B60" s="13" t="s">
        <v>49</v>
      </c>
      <c r="F60" s="13"/>
      <c r="H60" s="56" t="s">
        <v>46</v>
      </c>
      <c r="I60" s="57"/>
      <c r="J60" s="58"/>
      <c r="K60" s="58"/>
      <c r="L60" s="58"/>
      <c r="M60" s="58"/>
      <c r="N60" s="58"/>
      <c r="O60" s="59"/>
    </row>
  </sheetData>
  <mergeCells count="20">
    <mergeCell ref="H56:O56"/>
    <mergeCell ref="H60:O60"/>
    <mergeCell ref="H58:O58"/>
    <mergeCell ref="H55:I55"/>
    <mergeCell ref="H48:I48"/>
    <mergeCell ref="H59:O59"/>
    <mergeCell ref="H57:O57"/>
    <mergeCell ref="H50:O50"/>
    <mergeCell ref="H51:O51"/>
    <mergeCell ref="H52:O52"/>
    <mergeCell ref="H53:O53"/>
    <mergeCell ref="H49:O49"/>
    <mergeCell ref="B1:Q1"/>
    <mergeCell ref="G38:H38"/>
    <mergeCell ref="I38:J38"/>
    <mergeCell ref="C38:D38"/>
    <mergeCell ref="E38:F38"/>
    <mergeCell ref="B5:Q5"/>
    <mergeCell ref="B2:Q2"/>
    <mergeCell ref="B3:Q3"/>
  </mergeCells>
  <printOptions horizontalCentered="1" verticalCentered="1"/>
  <pageMargins left="0.55000000000000004" right="0.55000000000000004" top="0.6100000000000001" bottom="0.6100000000000001" header="0.5" footer="0.5"/>
  <pageSetup paperSize="9" scale="54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assessment</vt:lpstr>
      <vt:lpstr>'Project assessment'!Print_Area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Gallot</dc:creator>
  <cp:lastModifiedBy>appriou sylvie</cp:lastModifiedBy>
  <cp:lastPrinted>2022-07-02T14:11:41Z</cp:lastPrinted>
  <dcterms:created xsi:type="dcterms:W3CDTF">2013-03-15T18:07:16Z</dcterms:created>
  <dcterms:modified xsi:type="dcterms:W3CDTF">2025-12-09T18:13:45Z</dcterms:modified>
</cp:coreProperties>
</file>