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1109"/>
  <workbookPr dateCompatibility="0"/>
  <mc:AlternateContent xmlns:mc="http://schemas.openxmlformats.org/markup-compatibility/2006">
    <mc:Choice Requires="x15">
      <x15ac:absPath xmlns:x15ac="http://schemas.microsoft.com/office/spreadsheetml/2010/11/ac" url="/Users/joshuamusa/Desktop/EPITA/MSC-SE/S1/Corporate-Finance/"/>
    </mc:Choice>
  </mc:AlternateContent>
  <xr:revisionPtr revIDLastSave="0" documentId="13_ncr:9_{44A6E0DC-99DC-3847-A6E2-3A7145612DF4}" xr6:coauthVersionLast="47" xr6:coauthVersionMax="47" xr10:uidLastSave="{00000000-0000-0000-0000-000000000000}"/>
  <bookViews>
    <workbookView xWindow="0" yWindow="780" windowWidth="36000" windowHeight="22600" activeTab="1" xr2:uid="{8B0D86B1-F079-144E-81E3-F5FEEDF8D953}"/>
  </bookViews>
  <sheets>
    <sheet name="1. Instructions" sheetId="1" r:id="rId1"/>
    <sheet name="2. Monthly Worksheet" sheetId="4" r:id="rId2"/>
    <sheet name="3. Department Budget" sheetId="2" r:id="rId3"/>
  </sheets>
  <definedNames>
    <definedName name="_xlnm.Print_Area" localSheetId="0">'1. Instructions'!$B$1:$M$23</definedName>
    <definedName name="_xlnm.Print_Area" localSheetId="1">'2. Monthly Worksheet'!$A$1:$P$99</definedName>
    <definedName name="_xlnm.Print_Area" localSheetId="2">'3. Department Budget'!$A$1:$F$98</definedName>
    <definedName name="_xlnm.Print_Titles" localSheetId="2">'3. Department Budget'!$1:$2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C18" i="4" l="1"/>
  <c r="C4" i="2"/>
  <c r="C5" i="2"/>
  <c r="D23" i="4"/>
  <c r="E23" i="4"/>
  <c r="F23" i="4"/>
  <c r="G23" i="4"/>
  <c r="H23" i="4"/>
  <c r="I23" i="4"/>
  <c r="J23" i="4"/>
  <c r="K23" i="4"/>
  <c r="L23" i="4"/>
  <c r="L30" i="4" s="1"/>
  <c r="L92" i="4" s="1"/>
  <c r="L96" i="4" s="1"/>
  <c r="M23" i="4"/>
  <c r="N23" i="4"/>
  <c r="C23" i="4"/>
  <c r="D22" i="4"/>
  <c r="D30" i="4" s="1"/>
  <c r="D92" i="4" s="1"/>
  <c r="E22" i="4"/>
  <c r="F22" i="4"/>
  <c r="G22" i="4"/>
  <c r="H22" i="4"/>
  <c r="I22" i="4"/>
  <c r="J22" i="4"/>
  <c r="K22" i="4"/>
  <c r="L22" i="4"/>
  <c r="M22" i="4"/>
  <c r="N22" i="4"/>
  <c r="C22" i="4"/>
  <c r="D21" i="4"/>
  <c r="E21" i="4"/>
  <c r="F21" i="4"/>
  <c r="G21" i="4"/>
  <c r="H21" i="4"/>
  <c r="I21" i="4"/>
  <c r="J21" i="4"/>
  <c r="K21" i="4"/>
  <c r="L21" i="4"/>
  <c r="M21" i="4"/>
  <c r="N21" i="4"/>
  <c r="C21" i="4"/>
  <c r="D18" i="4"/>
  <c r="E18" i="4"/>
  <c r="F18" i="4"/>
  <c r="G18" i="4"/>
  <c r="H18" i="4"/>
  <c r="I18" i="4"/>
  <c r="J18" i="4"/>
  <c r="K18" i="4"/>
  <c r="L18" i="4"/>
  <c r="M18" i="4"/>
  <c r="N18" i="4"/>
  <c r="B4" i="4"/>
  <c r="B4" i="2" s="1"/>
  <c r="B5" i="2"/>
  <c r="B20" i="2"/>
  <c r="B67" i="2"/>
  <c r="B75" i="2"/>
  <c r="B89" i="2"/>
  <c r="B88" i="2"/>
  <c r="B87" i="2"/>
  <c r="B86" i="2"/>
  <c r="B85" i="2"/>
  <c r="B84" i="2"/>
  <c r="B80" i="2"/>
  <c r="B79" i="2"/>
  <c r="B78" i="2"/>
  <c r="B77" i="2"/>
  <c r="B76" i="2"/>
  <c r="B74" i="2"/>
  <c r="B70" i="2"/>
  <c r="B69" i="2"/>
  <c r="B68" i="2"/>
  <c r="B66" i="2"/>
  <c r="B65" i="2"/>
  <c r="B61" i="2"/>
  <c r="B60" i="2"/>
  <c r="B59" i="2"/>
  <c r="B58" i="2"/>
  <c r="B57" i="2"/>
  <c r="B56" i="2"/>
  <c r="B52" i="2"/>
  <c r="B51" i="2"/>
  <c r="B50" i="2"/>
  <c r="B46" i="2"/>
  <c r="B45" i="2"/>
  <c r="B44" i="2"/>
  <c r="B43" i="2"/>
  <c r="B42" i="2"/>
  <c r="B41" i="2"/>
  <c r="B40" i="2"/>
  <c r="B36" i="2"/>
  <c r="B35" i="2"/>
  <c r="B34" i="2"/>
  <c r="B33" i="2"/>
  <c r="B29" i="2"/>
  <c r="B28" i="2"/>
  <c r="B27" i="2"/>
  <c r="B26" i="2"/>
  <c r="B25" i="2"/>
  <c r="B24" i="2"/>
  <c r="B23" i="2"/>
  <c r="B22" i="2"/>
  <c r="B21" i="2"/>
  <c r="B19" i="2"/>
  <c r="B30" i="2" s="1"/>
  <c r="B18" i="2"/>
  <c r="B6" i="2"/>
  <c r="O85" i="4"/>
  <c r="C85" i="2" s="1"/>
  <c r="O86" i="4"/>
  <c r="C86" i="2" s="1"/>
  <c r="O87" i="4"/>
  <c r="C87" i="2"/>
  <c r="O88" i="4"/>
  <c r="C88" i="2" s="1"/>
  <c r="O89" i="4"/>
  <c r="C89" i="2" s="1"/>
  <c r="O84" i="4"/>
  <c r="C84" i="2" s="1"/>
  <c r="O75" i="4"/>
  <c r="C75" i="2" s="1"/>
  <c r="O76" i="4"/>
  <c r="C76" i="2"/>
  <c r="O77" i="4"/>
  <c r="C77" i="2" s="1"/>
  <c r="O78" i="4"/>
  <c r="C78" i="2" s="1"/>
  <c r="O79" i="4"/>
  <c r="C79" i="2" s="1"/>
  <c r="O80" i="4"/>
  <c r="C80" i="2" s="1"/>
  <c r="O74" i="4"/>
  <c r="C74" i="2"/>
  <c r="O66" i="4"/>
  <c r="C66" i="2"/>
  <c r="O67" i="4"/>
  <c r="C67" i="2"/>
  <c r="C71" i="2" s="1"/>
  <c r="O68" i="4"/>
  <c r="C68" i="2"/>
  <c r="O69" i="4"/>
  <c r="C69" i="2"/>
  <c r="O70" i="4"/>
  <c r="C70" i="2"/>
  <c r="O65" i="4"/>
  <c r="C65" i="2"/>
  <c r="O57" i="4"/>
  <c r="C57" i="2"/>
  <c r="O58" i="4"/>
  <c r="C58" i="2"/>
  <c r="O59" i="4"/>
  <c r="C59" i="2"/>
  <c r="O60" i="4"/>
  <c r="C60" i="2"/>
  <c r="O61" i="4"/>
  <c r="C61" i="2"/>
  <c r="O56" i="4"/>
  <c r="C56" i="2"/>
  <c r="C62" i="2" s="1"/>
  <c r="O51" i="4"/>
  <c r="C51" i="2"/>
  <c r="O52" i="4"/>
  <c r="C52" i="2"/>
  <c r="O50" i="4"/>
  <c r="C50" i="2" s="1"/>
  <c r="C53" i="2" s="1"/>
  <c r="C93" i="2" s="1"/>
  <c r="O41" i="4"/>
  <c r="C41" i="2" s="1"/>
  <c r="C47" i="2" s="1"/>
  <c r="O42" i="4"/>
  <c r="C42" i="2"/>
  <c r="O43" i="4"/>
  <c r="C43" i="2"/>
  <c r="O44" i="4"/>
  <c r="C44" i="2" s="1"/>
  <c r="O45" i="4"/>
  <c r="C45" i="2" s="1"/>
  <c r="O46" i="4"/>
  <c r="C46" i="2" s="1"/>
  <c r="O40" i="4"/>
  <c r="C40" i="2"/>
  <c r="O34" i="4"/>
  <c r="C34" i="2"/>
  <c r="O35" i="4"/>
  <c r="C35" i="2" s="1"/>
  <c r="O36" i="4"/>
  <c r="C36" i="2" s="1"/>
  <c r="O33" i="4"/>
  <c r="C33" i="2" s="1"/>
  <c r="O19" i="4"/>
  <c r="C19" i="2"/>
  <c r="O20" i="4"/>
  <c r="C20" i="2"/>
  <c r="O24" i="4"/>
  <c r="C24" i="2"/>
  <c r="O25" i="4"/>
  <c r="C25" i="2"/>
  <c r="O26" i="4"/>
  <c r="C26" i="2" s="1"/>
  <c r="O27" i="4"/>
  <c r="C27" i="2"/>
  <c r="O28" i="4"/>
  <c r="C28" i="2"/>
  <c r="O29" i="4"/>
  <c r="C29" i="2"/>
  <c r="O6" i="4"/>
  <c r="C6" i="2"/>
  <c r="C14" i="2"/>
  <c r="C7" i="4"/>
  <c r="D7" i="4"/>
  <c r="E7" i="4"/>
  <c r="F7" i="4"/>
  <c r="G7" i="4"/>
  <c r="H7" i="4"/>
  <c r="I7" i="4"/>
  <c r="J7" i="4"/>
  <c r="K7" i="4"/>
  <c r="L7" i="4"/>
  <c r="M7" i="4"/>
  <c r="N7" i="4"/>
  <c r="D14" i="4"/>
  <c r="C14" i="4"/>
  <c r="E14" i="4"/>
  <c r="F14" i="4"/>
  <c r="G14" i="4"/>
  <c r="H14" i="4"/>
  <c r="I14" i="4"/>
  <c r="J14" i="4"/>
  <c r="K14" i="4"/>
  <c r="L14" i="4"/>
  <c r="M14" i="4"/>
  <c r="N14" i="4"/>
  <c r="C30" i="4"/>
  <c r="C92" i="4" s="1"/>
  <c r="C96" i="4" s="1"/>
  <c r="M30" i="4"/>
  <c r="M92" i="4" s="1"/>
  <c r="M96" i="4" s="1"/>
  <c r="C37" i="4"/>
  <c r="O37" i="4" s="1"/>
  <c r="D37" i="4"/>
  <c r="E37" i="4"/>
  <c r="F37" i="4"/>
  <c r="G37" i="4"/>
  <c r="H37" i="4"/>
  <c r="I37" i="4"/>
  <c r="J37" i="4"/>
  <c r="K37" i="4"/>
  <c r="L37" i="4"/>
  <c r="M37" i="4"/>
  <c r="N37" i="4"/>
  <c r="C47" i="4"/>
  <c r="D47" i="4"/>
  <c r="E47" i="4"/>
  <c r="F47" i="4"/>
  <c r="O47" i="4" s="1"/>
  <c r="G47" i="4"/>
  <c r="H47" i="4"/>
  <c r="I47" i="4"/>
  <c r="J47" i="4"/>
  <c r="K47" i="4"/>
  <c r="L47" i="4"/>
  <c r="M47" i="4"/>
  <c r="N47" i="4"/>
  <c r="C53" i="4"/>
  <c r="C94" i="4" s="1"/>
  <c r="D53" i="4"/>
  <c r="D94" i="4" s="1"/>
  <c r="E53" i="4"/>
  <c r="E94" i="4" s="1"/>
  <c r="F53" i="4"/>
  <c r="F94" i="4" s="1"/>
  <c r="G53" i="4"/>
  <c r="H53" i="4"/>
  <c r="I53" i="4"/>
  <c r="J53" i="4"/>
  <c r="J94" i="4" s="1"/>
  <c r="K53" i="4"/>
  <c r="K94" i="4"/>
  <c r="L53" i="4"/>
  <c r="M53" i="4"/>
  <c r="N53" i="4"/>
  <c r="N94" i="4"/>
  <c r="C62" i="4"/>
  <c r="D62" i="4"/>
  <c r="O62" i="4" s="1"/>
  <c r="E62" i="4"/>
  <c r="F62" i="4"/>
  <c r="G62" i="4"/>
  <c r="H62" i="4"/>
  <c r="I62" i="4"/>
  <c r="J62" i="4"/>
  <c r="K62" i="4"/>
  <c r="L62" i="4"/>
  <c r="M62" i="4"/>
  <c r="N62" i="4"/>
  <c r="C71" i="4"/>
  <c r="D71" i="4"/>
  <c r="E71" i="4"/>
  <c r="F71" i="4"/>
  <c r="G71" i="4"/>
  <c r="H71" i="4"/>
  <c r="I71" i="4"/>
  <c r="J71" i="4"/>
  <c r="K71" i="4"/>
  <c r="L71" i="4"/>
  <c r="M71" i="4"/>
  <c r="N71" i="4"/>
  <c r="O71" i="4"/>
  <c r="C81" i="4"/>
  <c r="D81" i="4"/>
  <c r="E81" i="4"/>
  <c r="F81" i="4"/>
  <c r="G81" i="4"/>
  <c r="H81" i="4"/>
  <c r="I81" i="4"/>
  <c r="O81" i="4" s="1"/>
  <c r="J81" i="4"/>
  <c r="K81" i="4"/>
  <c r="L81" i="4"/>
  <c r="M81" i="4"/>
  <c r="N81" i="4"/>
  <c r="C90" i="4"/>
  <c r="D90" i="4"/>
  <c r="E90" i="4"/>
  <c r="F90" i="4"/>
  <c r="G90" i="4"/>
  <c r="O90" i="4" s="1"/>
  <c r="H90" i="4"/>
  <c r="I90" i="4"/>
  <c r="J90" i="4"/>
  <c r="K90" i="4"/>
  <c r="L90" i="4"/>
  <c r="M90" i="4"/>
  <c r="N90" i="4"/>
  <c r="G94" i="4"/>
  <c r="H94" i="4"/>
  <c r="I94" i="4"/>
  <c r="L94" i="4"/>
  <c r="M94" i="4"/>
  <c r="B30" i="4"/>
  <c r="B37" i="4"/>
  <c r="B47" i="4"/>
  <c r="B62" i="4"/>
  <c r="B71" i="4"/>
  <c r="B81" i="4"/>
  <c r="B90" i="4"/>
  <c r="B53" i="4"/>
  <c r="B94" i="4"/>
  <c r="B7" i="4"/>
  <c r="B14" i="4"/>
  <c r="B37" i="2"/>
  <c r="H37" i="2" s="1"/>
  <c r="E37" i="2" s="1"/>
  <c r="B47" i="2"/>
  <c r="H47" i="2" s="1"/>
  <c r="E47" i="2" s="1"/>
  <c r="B53" i="2"/>
  <c r="B62" i="2"/>
  <c r="H62" i="2" s="1"/>
  <c r="E62" i="2" s="1"/>
  <c r="B71" i="2"/>
  <c r="H71" i="2" s="1"/>
  <c r="E71" i="2" s="1"/>
  <c r="B81" i="2"/>
  <c r="H81" i="2" s="1"/>
  <c r="E81" i="2" s="1"/>
  <c r="B90" i="2"/>
  <c r="H21" i="2"/>
  <c r="E21" i="2"/>
  <c r="H22" i="2"/>
  <c r="E22" i="2" s="1"/>
  <c r="H23" i="2"/>
  <c r="H24" i="2"/>
  <c r="E24" i="2" s="1"/>
  <c r="H25" i="2"/>
  <c r="E25" i="2"/>
  <c r="H26" i="2"/>
  <c r="E26" i="2"/>
  <c r="H27" i="2"/>
  <c r="E27" i="2" s="1"/>
  <c r="H28" i="2"/>
  <c r="E28" i="2"/>
  <c r="H29" i="2"/>
  <c r="E29" i="2" s="1"/>
  <c r="H33" i="2"/>
  <c r="E33" i="2" s="1"/>
  <c r="H34" i="2"/>
  <c r="E34" i="2"/>
  <c r="H35" i="2"/>
  <c r="E35" i="2"/>
  <c r="H36" i="2"/>
  <c r="E36" i="2" s="1"/>
  <c r="H40" i="2"/>
  <c r="E40" i="2" s="1"/>
  <c r="H41" i="2"/>
  <c r="E41" i="2" s="1"/>
  <c r="H42" i="2"/>
  <c r="E42" i="2"/>
  <c r="H43" i="2"/>
  <c r="E43" i="2"/>
  <c r="H44" i="2"/>
  <c r="E44" i="2" s="1"/>
  <c r="H45" i="2"/>
  <c r="E45" i="2" s="1"/>
  <c r="H46" i="2"/>
  <c r="E46" i="2" s="1"/>
  <c r="H50" i="2"/>
  <c r="E50" i="2"/>
  <c r="H51" i="2"/>
  <c r="E51" i="2" s="1"/>
  <c r="H52" i="2"/>
  <c r="E52" i="2" s="1"/>
  <c r="H53" i="2"/>
  <c r="E53" i="2" s="1"/>
  <c r="H56" i="2"/>
  <c r="E56" i="2"/>
  <c r="H57" i="2"/>
  <c r="E57" i="2"/>
  <c r="H58" i="2"/>
  <c r="E58" i="2" s="1"/>
  <c r="H59" i="2"/>
  <c r="E59" i="2" s="1"/>
  <c r="H60" i="2"/>
  <c r="E60" i="2" s="1"/>
  <c r="H61" i="2"/>
  <c r="E61" i="2"/>
  <c r="H65" i="2"/>
  <c r="E65" i="2" s="1"/>
  <c r="H66" i="2"/>
  <c r="E66" i="2" s="1"/>
  <c r="H67" i="2"/>
  <c r="E67" i="2" s="1"/>
  <c r="H68" i="2"/>
  <c r="E68" i="2"/>
  <c r="H69" i="2"/>
  <c r="E69" i="2"/>
  <c r="H70" i="2"/>
  <c r="E70" i="2" s="1"/>
  <c r="H74" i="2"/>
  <c r="E74" i="2" s="1"/>
  <c r="H75" i="2"/>
  <c r="E75" i="2"/>
  <c r="H76" i="2"/>
  <c r="E76" i="2"/>
  <c r="H77" i="2"/>
  <c r="E77" i="2" s="1"/>
  <c r="H78" i="2"/>
  <c r="E78" i="2" s="1"/>
  <c r="H79" i="2"/>
  <c r="E79" i="2" s="1"/>
  <c r="H80" i="2"/>
  <c r="E80" i="2"/>
  <c r="H84" i="2"/>
  <c r="E84" i="2" s="1"/>
  <c r="H85" i="2"/>
  <c r="E85" i="2" s="1"/>
  <c r="H86" i="2"/>
  <c r="E86" i="2" s="1"/>
  <c r="H87" i="2"/>
  <c r="E87" i="2"/>
  <c r="H88" i="2"/>
  <c r="E88" i="2"/>
  <c r="H89" i="2"/>
  <c r="E89" i="2" s="1"/>
  <c r="H90" i="2"/>
  <c r="E90" i="2" s="1"/>
  <c r="B93" i="2"/>
  <c r="H93" i="2" s="1"/>
  <c r="E93" i="2" s="1"/>
  <c r="H5" i="2"/>
  <c r="H6" i="2"/>
  <c r="E6" i="2"/>
  <c r="H8" i="2"/>
  <c r="H9" i="2"/>
  <c r="H10" i="2"/>
  <c r="H11" i="2"/>
  <c r="H12" i="2"/>
  <c r="E12" i="2" s="1"/>
  <c r="H13" i="2"/>
  <c r="E13" i="2" s="1"/>
  <c r="B14" i="2"/>
  <c r="H14" i="2" s="1"/>
  <c r="E14" i="2" s="1"/>
  <c r="H16" i="2"/>
  <c r="H17" i="2"/>
  <c r="H18" i="2"/>
  <c r="H19" i="2"/>
  <c r="H20" i="2"/>
  <c r="H31" i="2"/>
  <c r="H32" i="2"/>
  <c r="H38" i="2"/>
  <c r="H39" i="2"/>
  <c r="H48" i="2"/>
  <c r="H49" i="2"/>
  <c r="H54" i="2"/>
  <c r="H55" i="2"/>
  <c r="H63" i="2"/>
  <c r="H64" i="2"/>
  <c r="H72" i="2"/>
  <c r="H73" i="2"/>
  <c r="H82" i="2"/>
  <c r="H83" i="2"/>
  <c r="H91" i="2"/>
  <c r="H94" i="2"/>
  <c r="H96" i="2"/>
  <c r="E11" i="2"/>
  <c r="E19" i="2"/>
  <c r="E20" i="2"/>
  <c r="B92" i="4"/>
  <c r="B96" i="4" s="1"/>
  <c r="B98" i="4" s="1"/>
  <c r="N30" i="4" l="1"/>
  <c r="K30" i="4"/>
  <c r="O18" i="4"/>
  <c r="C18" i="2" s="1"/>
  <c r="O21" i="4"/>
  <c r="C21" i="2" s="1"/>
  <c r="E18" i="2"/>
  <c r="J30" i="4"/>
  <c r="J92" i="4" s="1"/>
  <c r="J96" i="4" s="1"/>
  <c r="J98" i="4" s="1"/>
  <c r="I30" i="4"/>
  <c r="I92" i="4" s="1"/>
  <c r="I96" i="4" s="1"/>
  <c r="O22" i="4"/>
  <c r="C22" i="2" s="1"/>
  <c r="H30" i="4"/>
  <c r="H92" i="4" s="1"/>
  <c r="H96" i="4" s="1"/>
  <c r="H98" i="4" s="1"/>
  <c r="G30" i="4"/>
  <c r="G92" i="4" s="1"/>
  <c r="G96" i="4" s="1"/>
  <c r="G98" i="4" s="1"/>
  <c r="F30" i="4"/>
  <c r="F92" i="4" s="1"/>
  <c r="F96" i="4" s="1"/>
  <c r="F98" i="4" s="1"/>
  <c r="E30" i="4"/>
  <c r="E92" i="4" s="1"/>
  <c r="E96" i="4" s="1"/>
  <c r="E98" i="4" s="1"/>
  <c r="N92" i="4"/>
  <c r="N96" i="4" s="1"/>
  <c r="N98" i="4" s="1"/>
  <c r="K92" i="4"/>
  <c r="K96" i="4" s="1"/>
  <c r="K98" i="4" s="1"/>
  <c r="M98" i="4"/>
  <c r="L98" i="4"/>
  <c r="I98" i="4"/>
  <c r="O7" i="4"/>
  <c r="C7" i="2"/>
  <c r="E5" i="2"/>
  <c r="C81" i="2"/>
  <c r="B92" i="2"/>
  <c r="H30" i="2"/>
  <c r="C90" i="2"/>
  <c r="B7" i="2"/>
  <c r="H7" i="2" s="1"/>
  <c r="H4" i="2"/>
  <c r="E4" i="2" s="1"/>
  <c r="C98" i="4"/>
  <c r="O94" i="4"/>
  <c r="C37" i="2"/>
  <c r="D96" i="4"/>
  <c r="D98" i="4" s="1"/>
  <c r="O53" i="4"/>
  <c r="O23" i="4"/>
  <c r="C23" i="2" s="1"/>
  <c r="E23" i="2" s="1"/>
  <c r="O30" i="4" l="1"/>
  <c r="O96" i="4"/>
  <c r="O98" i="4"/>
  <c r="E7" i="2"/>
  <c r="B95" i="2"/>
  <c r="H92" i="2"/>
  <c r="O92" i="4"/>
  <c r="C30" i="2"/>
  <c r="C92" i="2" s="1"/>
  <c r="C95" i="2" s="1"/>
  <c r="G22" i="2" l="1"/>
  <c r="D22" i="2" s="1"/>
  <c r="G27" i="2"/>
  <c r="D27" i="2" s="1"/>
  <c r="G34" i="2"/>
  <c r="D34" i="2" s="1"/>
  <c r="G41" i="2"/>
  <c r="D41" i="2" s="1"/>
  <c r="G46" i="2"/>
  <c r="D46" i="2" s="1"/>
  <c r="G53" i="2"/>
  <c r="D53" i="2" s="1"/>
  <c r="G60" i="2"/>
  <c r="D60" i="2" s="1"/>
  <c r="G67" i="2"/>
  <c r="D67" i="2" s="1"/>
  <c r="G13" i="2"/>
  <c r="G18" i="2"/>
  <c r="D18" i="2" s="1"/>
  <c r="G83" i="2"/>
  <c r="G54" i="2"/>
  <c r="G31" i="2"/>
  <c r="G69" i="2"/>
  <c r="D69" i="2" s="1"/>
  <c r="G76" i="2"/>
  <c r="D76" i="2" s="1"/>
  <c r="G81" i="2"/>
  <c r="D81" i="2" s="1"/>
  <c r="G88" i="2"/>
  <c r="D88" i="2" s="1"/>
  <c r="G94" i="2"/>
  <c r="G91" i="2"/>
  <c r="G14" i="2"/>
  <c r="G75" i="2"/>
  <c r="D75" i="2" s="1"/>
  <c r="G87" i="2"/>
  <c r="D87" i="2" s="1"/>
  <c r="G23" i="2"/>
  <c r="D23" i="2" s="1"/>
  <c r="G28" i="2"/>
  <c r="D28" i="2" s="1"/>
  <c r="G35" i="2"/>
  <c r="D35" i="2" s="1"/>
  <c r="G42" i="2"/>
  <c r="D42" i="2" s="1"/>
  <c r="G47" i="2"/>
  <c r="D47" i="2" s="1"/>
  <c r="G56" i="2"/>
  <c r="D56" i="2" s="1"/>
  <c r="G61" i="2"/>
  <c r="D61" i="2" s="1"/>
  <c r="G68" i="2"/>
  <c r="D68" i="2" s="1"/>
  <c r="G20" i="2"/>
  <c r="D20" i="2" s="1"/>
  <c r="G4" i="2"/>
  <c r="D4" i="2" s="1"/>
  <c r="G17" i="2"/>
  <c r="G97" i="2"/>
  <c r="G90" i="2"/>
  <c r="D90" i="2" s="1"/>
  <c r="G92" i="2"/>
  <c r="D92" i="2" s="1"/>
  <c r="G70" i="2"/>
  <c r="D70" i="2" s="1"/>
  <c r="G77" i="2"/>
  <c r="D77" i="2" s="1"/>
  <c r="G84" i="2"/>
  <c r="D84" i="2" s="1"/>
  <c r="G89" i="2"/>
  <c r="D89" i="2" s="1"/>
  <c r="G38" i="2"/>
  <c r="G71" i="2"/>
  <c r="D71" i="2" s="1"/>
  <c r="G78" i="2"/>
  <c r="D78" i="2" s="1"/>
  <c r="G85" i="2"/>
  <c r="D85" i="2" s="1"/>
  <c r="G39" i="2"/>
  <c r="G95" i="2"/>
  <c r="D95" i="2" s="1"/>
  <c r="G25" i="2"/>
  <c r="D25" i="2" s="1"/>
  <c r="G30" i="2"/>
  <c r="D30" i="2" s="1"/>
  <c r="G37" i="2"/>
  <c r="D37" i="2" s="1"/>
  <c r="G44" i="2"/>
  <c r="D44" i="2" s="1"/>
  <c r="G51" i="2"/>
  <c r="D51" i="2" s="1"/>
  <c r="G58" i="2"/>
  <c r="D58" i="2" s="1"/>
  <c r="G65" i="2"/>
  <c r="D65" i="2" s="1"/>
  <c r="G7" i="2"/>
  <c r="D7" i="2" s="1"/>
  <c r="G16" i="2"/>
  <c r="G24" i="2"/>
  <c r="D24" i="2" s="1"/>
  <c r="G29" i="2"/>
  <c r="D29" i="2" s="1"/>
  <c r="G36" i="2"/>
  <c r="D36" i="2" s="1"/>
  <c r="G43" i="2"/>
  <c r="D43" i="2" s="1"/>
  <c r="G50" i="2"/>
  <c r="D50" i="2" s="1"/>
  <c r="G57" i="2"/>
  <c r="D57" i="2" s="1"/>
  <c r="G62" i="2"/>
  <c r="D62" i="2" s="1"/>
  <c r="G5" i="2"/>
  <c r="D5" i="2" s="1"/>
  <c r="G32" i="2"/>
  <c r="C97" i="2"/>
  <c r="G72" i="2"/>
  <c r="G6" i="2"/>
  <c r="D6" i="2" s="1"/>
  <c r="G49" i="2"/>
  <c r="G12" i="2"/>
  <c r="G73" i="2"/>
  <c r="G74" i="2"/>
  <c r="D74" i="2" s="1"/>
  <c r="G79" i="2"/>
  <c r="D79" i="2" s="1"/>
  <c r="G86" i="2"/>
  <c r="D86" i="2" s="1"/>
  <c r="G93" i="2"/>
  <c r="D93" i="2" s="1"/>
  <c r="G55" i="2"/>
  <c r="G10" i="2"/>
  <c r="G8" i="2"/>
  <c r="G63" i="2"/>
  <c r="G21" i="2"/>
  <c r="D21" i="2" s="1"/>
  <c r="G26" i="2"/>
  <c r="D26" i="2" s="1"/>
  <c r="G33" i="2"/>
  <c r="D33" i="2" s="1"/>
  <c r="G40" i="2"/>
  <c r="D40" i="2" s="1"/>
  <c r="G45" i="2"/>
  <c r="D45" i="2" s="1"/>
  <c r="G52" i="2"/>
  <c r="D52" i="2" s="1"/>
  <c r="G59" i="2"/>
  <c r="D59" i="2" s="1"/>
  <c r="G66" i="2"/>
  <c r="D66" i="2" s="1"/>
  <c r="G9" i="2"/>
  <c r="G64" i="2"/>
  <c r="G19" i="2"/>
  <c r="D19" i="2" s="1"/>
  <c r="G48" i="2"/>
  <c r="G96" i="2"/>
  <c r="G11" i="2"/>
  <c r="G80" i="2"/>
  <c r="D80" i="2" s="1"/>
  <c r="G82" i="2"/>
  <c r="E92" i="2"/>
  <c r="H95" i="2"/>
  <c r="E95" i="2" s="1"/>
  <c r="B97" i="2"/>
  <c r="H97" i="2" s="1"/>
  <c r="E30" i="2"/>
  <c r="D97" i="2" l="1"/>
  <c r="E97" i="2"/>
</calcChain>
</file>

<file path=xl/sharedStrings.xml><?xml version="1.0" encoding="utf-8"?>
<sst xmlns="http://purl.oclc.org/ooxml/spreadsheetml/main" count="230" uniqueCount="127">
  <si>
    <t xml:space="preserve"> </t>
  </si>
  <si>
    <t>May</t>
  </si>
  <si>
    <t>PERSONNEL</t>
  </si>
  <si>
    <t>Headcount (People not Dollars)</t>
  </si>
  <si>
    <t xml:space="preserve">  Full-Time</t>
  </si>
  <si>
    <t xml:space="preserve">  Contract</t>
  </si>
  <si>
    <t xml:space="preserve">  Other</t>
  </si>
  <si>
    <t>Total Headcount</t>
  </si>
  <si>
    <t>Personnel Expenses (Dollars not People)</t>
  </si>
  <si>
    <t>Full-Time Salaries</t>
  </si>
  <si>
    <t>Temporary Workers</t>
  </si>
  <si>
    <t>Employee Benefits</t>
  </si>
  <si>
    <t>Consultants</t>
  </si>
  <si>
    <t>Outsourcing Contracts</t>
  </si>
  <si>
    <t>Training / Seminars</t>
  </si>
  <si>
    <t>Bonuses / Other Compensation</t>
  </si>
  <si>
    <t>Employee Relocation</t>
  </si>
  <si>
    <t>Office Supplies</t>
  </si>
  <si>
    <t>General Supplies</t>
  </si>
  <si>
    <t>Media Costs (Diskettes, CDs, Tapes, etc.)</t>
  </si>
  <si>
    <t>Postage / Freight</t>
  </si>
  <si>
    <t>Publication Costs</t>
  </si>
  <si>
    <t>Travel (e.g. Plane Tickets)</t>
  </si>
  <si>
    <t>Accomodation (e.g. Hotels)</t>
  </si>
  <si>
    <t>Meals</t>
  </si>
  <si>
    <t>Legal Expenses</t>
  </si>
  <si>
    <t>Total Office Supplies</t>
  </si>
  <si>
    <t>Local Telephone</t>
  </si>
  <si>
    <t>Long Distance</t>
  </si>
  <si>
    <t>Cellular</t>
  </si>
  <si>
    <t>Pagers</t>
  </si>
  <si>
    <t>Communications Lines</t>
  </si>
  <si>
    <t>Internet Access</t>
  </si>
  <si>
    <t>Other</t>
  </si>
  <si>
    <t>Equipment Costs - Capital (on Balance Sheet)</t>
  </si>
  <si>
    <t>Servers</t>
  </si>
  <si>
    <t>Network Equipment</t>
  </si>
  <si>
    <t>Total Equipment Costs - Capital</t>
  </si>
  <si>
    <t>Equipment Costs - Expenses (on Income Statement)</t>
  </si>
  <si>
    <t>Desktops</t>
  </si>
  <si>
    <t>Monitors</t>
  </si>
  <si>
    <t>Notebooks</t>
  </si>
  <si>
    <t>Equipment Maintenance</t>
  </si>
  <si>
    <t>Total Equipment Costs - Expenses</t>
  </si>
  <si>
    <t>Hard Drives</t>
  </si>
  <si>
    <t>Mortherboards</t>
  </si>
  <si>
    <t>CD Drives</t>
  </si>
  <si>
    <t>Keyboards</t>
  </si>
  <si>
    <t>Mice</t>
  </si>
  <si>
    <t>Server Software</t>
  </si>
  <si>
    <t xml:space="preserve">  Microsoft Servers</t>
  </si>
  <si>
    <t xml:space="preserve">  Other Servers</t>
  </si>
  <si>
    <t>Desktop Software</t>
  </si>
  <si>
    <t xml:space="preserve">  Microsoft Office</t>
  </si>
  <si>
    <t xml:space="preserve">  Other Desktop Software</t>
  </si>
  <si>
    <t>Other Software</t>
  </si>
  <si>
    <t>Payroll Expense</t>
  </si>
  <si>
    <t>Utilities</t>
  </si>
  <si>
    <t>Insurance</t>
  </si>
  <si>
    <t>Rent</t>
  </si>
  <si>
    <t>Fees IT Charges for Services Performed</t>
  </si>
  <si>
    <t>Proceeds from Sales of Assets</t>
  </si>
  <si>
    <t>DEPARTMENT REVENUES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</si>
  <si>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</si>
  <si>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</si>
  <si>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</si>
  <si>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</si>
  <si>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</si>
  <si>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</si>
  <si>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</si>
  <si>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</si>
  <si>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</si>
  <si>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</si>
  <si>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</si>
  <si>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</si>
  <si>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TOTALS</t>
  </si>
  <si>
    <t>Total Personnel Expenses</t>
  </si>
  <si>
    <t>Telecommunications Expenses</t>
  </si>
  <si>
    <t>Total Telecommunications Expenses</t>
  </si>
  <si>
    <t>Equipment - Parts Expense</t>
  </si>
  <si>
    <t>Total Equipment Costs - Parts Expense</t>
  </si>
  <si>
    <t>Software Expenses</t>
  </si>
  <si>
    <t>Total Software Expenses</t>
  </si>
  <si>
    <t>General Administrative Overhead Expenses</t>
  </si>
  <si>
    <t>Total General Administrative Overhead Expenses</t>
  </si>
  <si>
    <t>TOTAL EXPENSES</t>
  </si>
  <si>
    <t>TOTAL CAPITAL COSTS</t>
  </si>
  <si>
    <t>TOTAL DEPARTMENT SPENDING</t>
  </si>
  <si>
    <t>TOTAL DEPARTMENT BUDGET (NET OF REVENUES)</t>
  </si>
  <si>
    <t>Last Year's Budget</t>
  </si>
  <si>
    <t>IT Department Budget</t>
  </si>
  <si>
    <t>Automobile Expense</t>
  </si>
  <si>
    <t>Total Department Revenue</t>
  </si>
  <si>
    <t>Comments/Assumptions</t>
  </si>
  <si>
    <t>(Total Year)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</si>
  <si>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</si>
  <si>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</si>
  <si>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</si>
  <si>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</si>
  <si>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</si>
  <si>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</si>
  <si>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</si>
  <si>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</si>
  <si>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</si>
  <si>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</si>
  <si>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</si>
  <si>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% Change From Last Year</t>
  </si>
  <si>
    <t>Monthly Worksheet</t>
  </si>
  <si>
    <t>(Full Year)</t>
  </si>
  <si>
    <t xml:space="preserve">This Year's Budget </t>
  </si>
  <si>
    <t xml:space="preserve">% of Total IT Spending </t>
  </si>
  <si>
    <t>For Year Ending:</t>
  </si>
  <si>
    <t xml:space="preserve">The IT Department Budget Template is an Excel spreadsheet that can be used to develop your annual IT </t>
  </si>
  <si>
    <t>Department budget. There are four worksheet tabs:</t>
  </si>
  <si>
    <t>IT Department Budget Template Instructions</t>
  </si>
  <si>
    <r>
      <t>1. Instructions</t>
    </r>
    <r>
      <rPr>
        <sz val="10"/>
        <rFont val="Arial"/>
        <family val="2"/>
      </rPr>
      <t xml:space="preserve">  </t>
    </r>
  </si>
  <si>
    <t>2. Monthly Worksheet</t>
  </si>
  <si>
    <t>3. Department Budget</t>
  </si>
  <si>
    <t>Please note the following:</t>
  </si>
  <si>
    <t>Only input numbers into cells that have a blue font color</t>
  </si>
  <si>
    <t>Read the instructions on this first tab before using this template to develop your budget.</t>
  </si>
  <si>
    <t>DEPARTMENT EXPENSES</t>
  </si>
  <si>
    <t>150$/Mth/Emp. Assumed 10% HC growth.</t>
  </si>
  <si>
    <t>Obsolete assets to be givent to schools.</t>
  </si>
  <si>
    <t>This is the tab that you can use to enter the value for each of the budget line</t>
  </si>
  <si>
    <t>This is a summary of the budget : it will calculate automatically from the Monthly Worksheet</t>
  </si>
  <si>
    <t>$16,500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</si>
</sst>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99" formatCode="_(&quot;$&quot;* #,##0.00_);_(&quot;$&quot;* \(#,##0.00\);_(&quot;$&quot;* &quot;-&quot;??_);_(@_)"/>
    <numFmt numFmtId="200" formatCode="0.0%"/>
    <numFmt numFmtId="203" formatCode="_(&quot;$&quot;* #,##0_);_(&quot;$&quot;* \(#,##0\);_(&quot;$&quot;* &quot;-&quot;??_);_(@_)"/>
    <numFmt numFmtId="206" formatCode="_(* #,##0_);_(* \(#,##0\);_(* &quot;-&quot;??_);_(@_)"/>
  </numFmts>
  <fonts count="16" x14ac:knownFonts="1">
    <font>
      <sz val="10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0"/>
      <color indexed="48"/>
      <name val="Arial"/>
      <family val="2"/>
    </font>
    <font>
      <i/>
      <sz val="10"/>
      <name val="Arial"/>
      <family val="2"/>
    </font>
    <font>
      <b/>
      <sz val="10"/>
      <color indexed="48"/>
      <name val="Arial"/>
      <family val="2"/>
    </font>
    <font>
      <sz val="10"/>
      <color indexed="9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b/>
      <i/>
      <sz val="10"/>
      <color indexed="9"/>
      <name val="Arial"/>
      <family val="2"/>
    </font>
    <font>
      <i/>
      <sz val="10"/>
      <color indexed="9"/>
      <name val="Arial"/>
      <family val="2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</fills>
  <borders count="32">
    <border>
      <start/>
      <end/>
      <top/>
      <bottom/>
      <diagonal/>
    </border>
    <border>
      <start style="medium">
        <color indexed="64"/>
      </start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 style="thin">
        <color indexed="64"/>
      </start>
      <end/>
      <top style="thin">
        <color indexed="64"/>
      </top>
      <bottom style="thin">
        <color indexed="64"/>
      </bottom>
      <diagonal/>
    </border>
    <border>
      <start/>
      <end/>
      <top style="thin">
        <color indexed="64"/>
      </top>
      <bottom style="thin">
        <color indexed="64"/>
      </bottom>
      <diagonal/>
    </border>
    <border>
      <start/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/>
      <top style="thin">
        <color indexed="64"/>
      </top>
      <bottom/>
      <diagonal/>
    </border>
    <border>
      <start/>
      <end/>
      <top style="thin">
        <color indexed="64"/>
      </top>
      <bottom/>
      <diagonal/>
    </border>
    <border>
      <start/>
      <end style="thin">
        <color indexed="64"/>
      </end>
      <top style="thin">
        <color indexed="64"/>
      </top>
      <bottom/>
      <diagonal/>
    </border>
    <border>
      <start style="thin">
        <color indexed="64"/>
      </start>
      <end/>
      <top/>
      <bottom/>
      <diagonal/>
    </border>
    <border>
      <start/>
      <end style="thin">
        <color indexed="64"/>
      </end>
      <top/>
      <bottom/>
      <diagonal/>
    </border>
    <border>
      <start style="thin">
        <color indexed="64"/>
      </start>
      <end/>
      <top/>
      <bottom style="thin">
        <color indexed="64"/>
      </bottom>
      <diagonal/>
    </border>
    <border>
      <start/>
      <end/>
      <top/>
      <bottom style="thin">
        <color indexed="64"/>
      </bottom>
      <diagonal/>
    </border>
    <border>
      <start/>
      <end style="thin">
        <color indexed="64"/>
      </end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/>
      <diagonal/>
    </border>
    <border>
      <start style="medium">
        <color indexed="64"/>
      </start>
      <end style="medium">
        <color indexed="64"/>
      </end>
      <top/>
      <bottom style="thin">
        <color indexed="64"/>
      </bottom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 style="medium">
        <color indexed="64"/>
      </start>
      <end style="medium">
        <color indexed="64"/>
      </end>
      <top style="thin">
        <color indexed="64"/>
      </top>
      <bottom style="thin">
        <color indexed="64"/>
      </bottom>
      <diagonal/>
    </border>
    <border>
      <start style="medium">
        <color indexed="64"/>
      </start>
      <end/>
      <top/>
      <bottom style="thin">
        <color indexed="64"/>
      </bottom>
      <diagonal/>
    </border>
    <border>
      <start style="medium">
        <color indexed="64"/>
      </start>
      <end style="medium">
        <color indexed="64"/>
      </end>
      <top style="thin">
        <color indexed="64"/>
      </top>
      <bottom/>
      <diagonal/>
    </border>
    <border>
      <start style="medium">
        <color indexed="64"/>
      </start>
      <end/>
      <top style="medium">
        <color indexed="64"/>
      </top>
      <bottom style="thin">
        <color indexed="64"/>
      </bottom>
      <diagonal/>
    </border>
    <border>
      <start/>
      <end/>
      <top style="medium">
        <color indexed="64"/>
      </top>
      <bottom style="thin">
        <color indexed="64"/>
      </bottom>
      <diagonal/>
    </border>
    <border>
      <start style="medium">
        <color indexed="64"/>
      </start>
      <end/>
      <top style="thin">
        <color indexed="64"/>
      </top>
      <bottom/>
      <diagonal/>
    </border>
    <border>
      <start/>
      <end style="medium">
        <color indexed="64"/>
      </end>
      <top/>
      <bottom style="thin">
        <color indexed="64"/>
      </bottom>
      <diagonal/>
    </border>
    <border>
      <start/>
      <end/>
      <top style="thin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 style="medium">
        <color indexed="64"/>
      </end>
      <top/>
      <bottom style="medium">
        <color indexed="64"/>
      </bottom>
      <diagonal/>
    </border>
    <border>
      <start/>
      <end style="medium">
        <color indexed="64"/>
      </end>
      <top style="thin">
        <color indexed="64"/>
      </top>
      <bottom style="thin">
        <color indexed="64"/>
      </bottom>
      <diagonal/>
    </border>
    <border>
      <start/>
      <end/>
      <top/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199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160">
    <xf numFmtId="0" fontId="0" fillId="0" borderId="0" xfId="0"/>
    <xf numFmtId="0" fontId="3" fillId="0" borderId="0" xfId="0" applyFont="1"/>
    <xf numFmtId="0" fontId="3" fillId="2" borderId="1" xfId="0" applyFont="1" applyFill="1" applyBorder="1"/>
    <xf numFmtId="0" fontId="3" fillId="0" borderId="0" xfId="0" applyFont="1" applyBorder="1"/>
    <xf numFmtId="0" fontId="7" fillId="0" borderId="0" xfId="0" applyFont="1"/>
    <xf numFmtId="203" fontId="3" fillId="2" borderId="2" xfId="2" applyNumberFormat="1" applyFont="1" applyFill="1" applyBorder="1"/>
    <xf numFmtId="203" fontId="3" fillId="2" borderId="1" xfId="0" applyNumberFormat="1" applyFont="1" applyFill="1" applyBorder="1"/>
    <xf numFmtId="206" fontId="0" fillId="0" borderId="0" xfId="1" applyNumberFormat="1" applyFont="1"/>
    <xf numFmtId="200" fontId="2" fillId="2" borderId="2" xfId="4" applyNumberFormat="1" applyFont="1" applyFill="1" applyBorder="1"/>
    <xf numFmtId="200" fontId="2" fillId="2" borderId="3" xfId="4" applyNumberFormat="1" applyFont="1" applyFill="1" applyBorder="1"/>
    <xf numFmtId="0" fontId="0" fillId="0" borderId="0" xfId="0" applyBorder="1"/>
    <xf numFmtId="0" fontId="0" fillId="3" borderId="0" xfId="0" applyFill="1"/>
    <xf numFmtId="0" fontId="9" fillId="4" borderId="4" xfId="0" applyFont="1" applyFill="1" applyBorder="1"/>
    <xf numFmtId="0" fontId="9" fillId="4" borderId="5" xfId="0" applyFont="1" applyFill="1" applyBorder="1"/>
    <xf numFmtId="0" fontId="11" fillId="4" borderId="5" xfId="0" applyFont="1" applyFill="1" applyBorder="1"/>
    <xf numFmtId="0" fontId="9" fillId="4" borderId="6" xfId="0" applyFont="1" applyFill="1" applyBorder="1"/>
    <xf numFmtId="0" fontId="0" fillId="5" borderId="7" xfId="0" applyFill="1" applyBorder="1"/>
    <xf numFmtId="0" fontId="2" fillId="5" borderId="8" xfId="0" applyFont="1" applyFill="1" applyBorder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4" fillId="5" borderId="0" xfId="0" applyFont="1" applyFill="1" applyBorder="1"/>
    <xf numFmtId="0" fontId="0" fillId="5" borderId="0" xfId="0" applyFill="1" applyBorder="1"/>
    <xf numFmtId="0" fontId="0" fillId="5" borderId="11" xfId="0" applyFill="1" applyBorder="1"/>
    <xf numFmtId="0" fontId="3" fillId="5" borderId="0" xfId="0" applyFont="1" applyFill="1" applyBorder="1"/>
    <xf numFmtId="0" fontId="5" fillId="5" borderId="0" xfId="3" applyFill="1" applyBorder="1" applyAlignment="1" applyProtection="1"/>
    <xf numFmtId="0" fontId="2" fillId="5" borderId="0" xfId="0" applyFont="1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6" borderId="0" xfId="0" applyFill="1"/>
    <xf numFmtId="0" fontId="10" fillId="4" borderId="5" xfId="0" applyFont="1" applyFill="1" applyBorder="1" applyAlignment="1">
      <alignment vertical="center"/>
    </xf>
    <xf numFmtId="0" fontId="10" fillId="4" borderId="0" xfId="0" applyFont="1" applyFill="1" applyAlignment="1">
      <alignment vertical="center"/>
    </xf>
    <xf numFmtId="0" fontId="12" fillId="4" borderId="15" xfId="0" applyFont="1" applyFill="1" applyBorder="1" applyAlignment="1">
      <alignment horizontal="center" vertical="center" wrapText="1"/>
    </xf>
    <xf numFmtId="0" fontId="12" fillId="4" borderId="0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left"/>
    </xf>
    <xf numFmtId="0" fontId="12" fillId="4" borderId="1" xfId="0" applyFont="1" applyFill="1" applyBorder="1" applyAlignment="1">
      <alignment horizontal="center" vertical="center" wrapText="1"/>
    </xf>
    <xf numFmtId="0" fontId="12" fillId="4" borderId="0" xfId="0" applyFont="1" applyFill="1" applyAlignment="1">
      <alignment horizontal="center" vertical="center" wrapText="1"/>
    </xf>
    <xf numFmtId="0" fontId="12" fillId="4" borderId="1" xfId="0" applyFont="1" applyFill="1" applyBorder="1"/>
    <xf numFmtId="0" fontId="3" fillId="6" borderId="0" xfId="0" applyFont="1" applyFill="1"/>
    <xf numFmtId="203" fontId="8" fillId="5" borderId="1" xfId="2" applyNumberFormat="1" applyFont="1" applyFill="1" applyBorder="1"/>
    <xf numFmtId="0" fontId="4" fillId="5" borderId="1" xfId="0" applyFont="1" applyFill="1" applyBorder="1" applyProtection="1">
      <protection locked="0"/>
    </xf>
    <xf numFmtId="203" fontId="8" fillId="5" borderId="1" xfId="2" applyNumberFormat="1" applyFont="1" applyFill="1" applyBorder="1" applyProtection="1">
      <protection locked="0"/>
    </xf>
    <xf numFmtId="203" fontId="3" fillId="5" borderId="1" xfId="0" applyNumberFormat="1" applyFont="1" applyFill="1" applyBorder="1"/>
    <xf numFmtId="203" fontId="8" fillId="5" borderId="16" xfId="2" applyNumberFormat="1" applyFont="1" applyFill="1" applyBorder="1" applyProtection="1">
      <protection locked="0"/>
    </xf>
    <xf numFmtId="203" fontId="6" fillId="5" borderId="13" xfId="2" applyNumberFormat="1" applyFont="1" applyFill="1" applyBorder="1" applyProtection="1">
      <protection locked="0"/>
    </xf>
    <xf numFmtId="203" fontId="3" fillId="5" borderId="1" xfId="2" applyNumberFormat="1" applyFont="1" applyFill="1" applyBorder="1"/>
    <xf numFmtId="206" fontId="3" fillId="5" borderId="1" xfId="1" applyNumberFormat="1" applyFont="1" applyFill="1" applyBorder="1"/>
    <xf numFmtId="206" fontId="8" fillId="5" borderId="16" xfId="1" applyNumberFormat="1" applyFont="1" applyFill="1" applyBorder="1" applyProtection="1">
      <protection locked="0"/>
    </xf>
    <xf numFmtId="206" fontId="6" fillId="5" borderId="13" xfId="1" applyNumberFormat="1" applyFont="1" applyFill="1" applyBorder="1" applyProtection="1">
      <protection locked="0"/>
    </xf>
    <xf numFmtId="203" fontId="3" fillId="5" borderId="0" xfId="2" applyNumberFormat="1" applyFont="1" applyFill="1" applyBorder="1"/>
    <xf numFmtId="0" fontId="4" fillId="5" borderId="2" xfId="0" applyFont="1" applyFill="1" applyBorder="1" applyProtection="1">
      <protection locked="0"/>
    </xf>
    <xf numFmtId="203" fontId="3" fillId="2" borderId="0" xfId="2" applyNumberFormat="1" applyFont="1" applyFill="1" applyBorder="1"/>
    <xf numFmtId="0" fontId="0" fillId="6" borderId="0" xfId="0" applyFill="1" applyBorder="1"/>
    <xf numFmtId="0" fontId="3" fillId="6" borderId="0" xfId="0" applyFont="1" applyFill="1" applyBorder="1"/>
    <xf numFmtId="0" fontId="3" fillId="6" borderId="1" xfId="0" applyFont="1" applyFill="1" applyBorder="1"/>
    <xf numFmtId="203" fontId="3" fillId="6" borderId="1" xfId="2" applyNumberFormat="1" applyFont="1" applyFill="1" applyBorder="1"/>
    <xf numFmtId="203" fontId="0" fillId="6" borderId="0" xfId="2" applyNumberFormat="1" applyFont="1" applyFill="1" applyBorder="1"/>
    <xf numFmtId="203" fontId="3" fillId="6" borderId="0" xfId="0" applyNumberFormat="1" applyFont="1" applyFill="1" applyBorder="1"/>
    <xf numFmtId="206" fontId="3" fillId="6" borderId="8" xfId="1" applyNumberFormat="1" applyFont="1" applyFill="1" applyBorder="1"/>
    <xf numFmtId="203" fontId="0" fillId="6" borderId="13" xfId="2" applyNumberFormat="1" applyFont="1" applyFill="1" applyBorder="1"/>
    <xf numFmtId="203" fontId="3" fillId="6" borderId="13" xfId="0" applyNumberFormat="1" applyFont="1" applyFill="1" applyBorder="1"/>
    <xf numFmtId="203" fontId="6" fillId="6" borderId="5" xfId="2" applyNumberFormat="1" applyFont="1" applyFill="1" applyBorder="1"/>
    <xf numFmtId="203" fontId="0" fillId="6" borderId="8" xfId="2" applyNumberFormat="1" applyFont="1" applyFill="1" applyBorder="1"/>
    <xf numFmtId="203" fontId="3" fillId="6" borderId="8" xfId="0" applyNumberFormat="1" applyFont="1" applyFill="1" applyBorder="1"/>
    <xf numFmtId="203" fontId="3" fillId="6" borderId="8" xfId="2" applyNumberFormat="1" applyFont="1" applyFill="1" applyBorder="1"/>
    <xf numFmtId="203" fontId="3" fillId="6" borderId="13" xfId="2" applyNumberFormat="1" applyFont="1" applyFill="1" applyBorder="1"/>
    <xf numFmtId="203" fontId="0" fillId="6" borderId="8" xfId="2" applyNumberFormat="1" applyFont="1" applyFill="1" applyBorder="1" applyProtection="1">
      <protection locked="0"/>
    </xf>
    <xf numFmtId="203" fontId="3" fillId="6" borderId="5" xfId="2" applyNumberFormat="1" applyFont="1" applyFill="1" applyBorder="1"/>
    <xf numFmtId="203" fontId="0" fillId="6" borderId="5" xfId="2" applyNumberFormat="1" applyFont="1" applyFill="1" applyBorder="1"/>
    <xf numFmtId="0" fontId="3" fillId="6" borderId="15" xfId="0" applyFont="1" applyFill="1" applyBorder="1"/>
    <xf numFmtId="0" fontId="0" fillId="6" borderId="1" xfId="0" applyFill="1" applyBorder="1"/>
    <xf numFmtId="0" fontId="3" fillId="2" borderId="2" xfId="0" applyFont="1" applyFill="1" applyBorder="1"/>
    <xf numFmtId="0" fontId="0" fillId="6" borderId="17" xfId="0" applyFill="1" applyBorder="1"/>
    <xf numFmtId="0" fontId="4" fillId="5" borderId="18" xfId="0" applyFont="1" applyFill="1" applyBorder="1" applyProtection="1">
      <protection locked="0"/>
    </xf>
    <xf numFmtId="0" fontId="3" fillId="2" borderId="3" xfId="0" applyFont="1" applyFill="1" applyBorder="1"/>
    <xf numFmtId="203" fontId="3" fillId="5" borderId="17" xfId="0" applyNumberFormat="1" applyFont="1" applyFill="1" applyBorder="1"/>
    <xf numFmtId="0" fontId="3" fillId="6" borderId="17" xfId="0" applyFont="1" applyFill="1" applyBorder="1"/>
    <xf numFmtId="0" fontId="3" fillId="2" borderId="17" xfId="0" applyFont="1" applyFill="1" applyBorder="1"/>
    <xf numFmtId="203" fontId="3" fillId="5" borderId="19" xfId="2" applyNumberFormat="1" applyFont="1" applyFill="1" applyBorder="1"/>
    <xf numFmtId="203" fontId="3" fillId="6" borderId="20" xfId="2" applyNumberFormat="1" applyFont="1" applyFill="1" applyBorder="1"/>
    <xf numFmtId="203" fontId="3" fillId="6" borderId="21" xfId="2" applyNumberFormat="1" applyFont="1" applyFill="1" applyBorder="1"/>
    <xf numFmtId="203" fontId="3" fillId="6" borderId="16" xfId="2" applyNumberFormat="1" applyFont="1" applyFill="1" applyBorder="1"/>
    <xf numFmtId="203" fontId="3" fillId="2" borderId="19" xfId="2" applyNumberFormat="1" applyFont="1" applyFill="1" applyBorder="1"/>
    <xf numFmtId="203" fontId="8" fillId="6" borderId="22" xfId="2" applyNumberFormat="1" applyFont="1" applyFill="1" applyBorder="1"/>
    <xf numFmtId="203" fontId="6" fillId="6" borderId="23" xfId="2" applyNumberFormat="1" applyFont="1" applyFill="1" applyBorder="1"/>
    <xf numFmtId="203" fontId="6" fillId="5" borderId="0" xfId="2" applyNumberFormat="1" applyFont="1" applyFill="1" applyBorder="1" applyProtection="1">
      <protection locked="0"/>
    </xf>
    <xf numFmtId="203" fontId="3" fillId="6" borderId="24" xfId="2" applyNumberFormat="1" applyFont="1" applyFill="1" applyBorder="1"/>
    <xf numFmtId="203" fontId="3" fillId="6" borderId="25" xfId="0" applyNumberFormat="1" applyFont="1" applyFill="1" applyBorder="1"/>
    <xf numFmtId="203" fontId="6" fillId="5" borderId="0" xfId="2" applyNumberFormat="1" applyFont="1" applyFill="1" applyBorder="1"/>
    <xf numFmtId="206" fontId="6" fillId="5" borderId="0" xfId="1" applyNumberFormat="1" applyFont="1" applyFill="1" applyBorder="1" applyProtection="1">
      <protection locked="0"/>
    </xf>
    <xf numFmtId="206" fontId="3" fillId="5" borderId="0" xfId="1" applyNumberFormat="1" applyFont="1" applyFill="1" applyBorder="1"/>
    <xf numFmtId="206" fontId="3" fillId="6" borderId="24" xfId="1" applyNumberFormat="1" applyFont="1" applyFill="1" applyBorder="1"/>
    <xf numFmtId="203" fontId="3" fillId="6" borderId="17" xfId="2" applyNumberFormat="1" applyFont="1" applyFill="1" applyBorder="1"/>
    <xf numFmtId="203" fontId="3" fillId="6" borderId="24" xfId="2" applyNumberFormat="1" applyFont="1" applyFill="1" applyBorder="1" applyProtection="1">
      <protection locked="0"/>
    </xf>
    <xf numFmtId="203" fontId="3" fillId="2" borderId="26" xfId="2" applyNumberFormat="1" applyFont="1" applyFill="1" applyBorder="1"/>
    <xf numFmtId="203" fontId="3" fillId="5" borderId="19" xfId="0" applyNumberFormat="1" applyFont="1" applyFill="1" applyBorder="1"/>
    <xf numFmtId="0" fontId="3" fillId="6" borderId="23" xfId="0" applyFont="1" applyFill="1" applyBorder="1"/>
    <xf numFmtId="203" fontId="3" fillId="5" borderId="20" xfId="0" applyNumberFormat="1" applyFont="1" applyFill="1" applyBorder="1"/>
    <xf numFmtId="206" fontId="3" fillId="5" borderId="17" xfId="1" applyNumberFormat="1" applyFont="1" applyFill="1" applyBorder="1"/>
    <xf numFmtId="206" fontId="3" fillId="5" borderId="20" xfId="1" applyNumberFormat="1" applyFont="1" applyFill="1" applyBorder="1"/>
    <xf numFmtId="0" fontId="4" fillId="5" borderId="15" xfId="0" applyFont="1" applyFill="1" applyBorder="1" applyProtection="1">
      <protection locked="0"/>
    </xf>
    <xf numFmtId="0" fontId="12" fillId="4" borderId="27" xfId="0" applyFont="1" applyFill="1" applyBorder="1" applyAlignment="1">
      <alignment horizontal="center" vertical="center" wrapText="1"/>
    </xf>
    <xf numFmtId="0" fontId="9" fillId="4" borderId="17" xfId="0" applyFont="1" applyFill="1" applyBorder="1"/>
    <xf numFmtId="200" fontId="0" fillId="6" borderId="0" xfId="4" applyNumberFormat="1" applyFont="1" applyFill="1" applyBorder="1"/>
    <xf numFmtId="0" fontId="4" fillId="5" borderId="28" xfId="0" applyFont="1" applyFill="1" applyBorder="1" applyProtection="1">
      <protection locked="0"/>
    </xf>
    <xf numFmtId="203" fontId="3" fillId="2" borderId="2" xfId="0" applyNumberFormat="1" applyFont="1" applyFill="1" applyBorder="1"/>
    <xf numFmtId="203" fontId="3" fillId="6" borderId="29" xfId="0" applyNumberFormat="1" applyFont="1" applyFill="1" applyBorder="1"/>
    <xf numFmtId="203" fontId="3" fillId="2" borderId="30" xfId="2" applyNumberFormat="1" applyFont="1" applyFill="1" applyBorder="1"/>
    <xf numFmtId="0" fontId="13" fillId="4" borderId="15" xfId="0" applyFont="1" applyFill="1" applyBorder="1" applyAlignment="1">
      <alignment horizontal="center" vertical="center" wrapText="1"/>
    </xf>
    <xf numFmtId="0" fontId="12" fillId="4" borderId="17" xfId="0" applyFont="1" applyFill="1" applyBorder="1" applyAlignment="1">
      <alignment horizontal="center" vertical="center" wrapText="1"/>
    </xf>
    <xf numFmtId="0" fontId="14" fillId="4" borderId="1" xfId="0" applyFont="1" applyFill="1" applyBorder="1"/>
    <xf numFmtId="0" fontId="7" fillId="6" borderId="0" xfId="0" applyFont="1" applyFill="1"/>
    <xf numFmtId="0" fontId="10" fillId="4" borderId="27" xfId="0" applyFont="1" applyFill="1" applyBorder="1" applyAlignment="1">
      <alignment vertical="center"/>
    </xf>
    <xf numFmtId="0" fontId="12" fillId="4" borderId="31" xfId="0" applyFont="1" applyFill="1" applyBorder="1" applyAlignment="1">
      <alignment horizontal="center" vertical="center" wrapText="1"/>
    </xf>
    <xf numFmtId="0" fontId="9" fillId="4" borderId="18" xfId="0" applyFont="1" applyFill="1" applyBorder="1"/>
    <xf numFmtId="200" fontId="7" fillId="6" borderId="0" xfId="4" applyNumberFormat="1" applyFont="1" applyFill="1" applyBorder="1"/>
    <xf numFmtId="200" fontId="2" fillId="2" borderId="30" xfId="4" applyNumberFormat="1" applyFont="1" applyFill="1" applyBorder="1"/>
    <xf numFmtId="200" fontId="7" fillId="5" borderId="1" xfId="4" applyNumberFormat="1" applyFont="1" applyFill="1" applyBorder="1"/>
    <xf numFmtId="200" fontId="7" fillId="5" borderId="17" xfId="4" applyNumberFormat="1" applyFont="1" applyFill="1" applyBorder="1"/>
    <xf numFmtId="200" fontId="7" fillId="5" borderId="16" xfId="4" applyNumberFormat="1" applyFont="1" applyFill="1" applyBorder="1"/>
    <xf numFmtId="200" fontId="7" fillId="5" borderId="20" xfId="4" applyNumberFormat="1" applyFont="1" applyFill="1" applyBorder="1"/>
    <xf numFmtId="200" fontId="2" fillId="5" borderId="1" xfId="4" applyNumberFormat="1" applyFont="1" applyFill="1" applyBorder="1"/>
    <xf numFmtId="200" fontId="2" fillId="5" borderId="17" xfId="4" applyNumberFormat="1" applyFont="1" applyFill="1" applyBorder="1"/>
    <xf numFmtId="206" fontId="6" fillId="5" borderId="17" xfId="1" applyNumberFormat="1" applyFont="1" applyFill="1" applyBorder="1" applyProtection="1">
      <protection locked="0"/>
    </xf>
    <xf numFmtId="9" fontId="2" fillId="5" borderId="1" xfId="4" applyFont="1" applyFill="1" applyBorder="1"/>
    <xf numFmtId="9" fontId="2" fillId="5" borderId="17" xfId="4" applyFont="1" applyFill="1" applyBorder="1"/>
    <xf numFmtId="0" fontId="11" fillId="4" borderId="15" xfId="0" applyFont="1" applyFill="1" applyBorder="1" applyAlignment="1" applyProtection="1">
      <alignment horizontal="left"/>
      <protection locked="0"/>
    </xf>
    <xf numFmtId="0" fontId="7" fillId="6" borderId="5" xfId="0" applyFont="1" applyFill="1" applyBorder="1"/>
    <xf numFmtId="200" fontId="7" fillId="6" borderId="8" xfId="4" applyNumberFormat="1" applyFont="1" applyFill="1" applyBorder="1"/>
    <xf numFmtId="206" fontId="6" fillId="6" borderId="13" xfId="1" applyNumberFormat="1" applyFont="1" applyFill="1" applyBorder="1"/>
    <xf numFmtId="200" fontId="7" fillId="6" borderId="13" xfId="4" applyNumberFormat="1" applyFont="1" applyFill="1" applyBorder="1"/>
    <xf numFmtId="200" fontId="2" fillId="6" borderId="8" xfId="4" applyNumberFormat="1" applyFont="1" applyFill="1" applyBorder="1"/>
    <xf numFmtId="200" fontId="7" fillId="6" borderId="5" xfId="4" applyNumberFormat="1" applyFont="1" applyFill="1" applyBorder="1"/>
    <xf numFmtId="206" fontId="6" fillId="5" borderId="16" xfId="1" applyNumberFormat="1" applyFont="1" applyFill="1" applyBorder="1" applyProtection="1">
      <protection locked="0"/>
    </xf>
    <xf numFmtId="0" fontId="12" fillId="4" borderId="27" xfId="0" applyFont="1" applyFill="1" applyBorder="1" applyAlignment="1" applyProtection="1">
      <alignment horizontal="center" vertical="center" wrapText="1"/>
    </xf>
    <xf numFmtId="0" fontId="12" fillId="4" borderId="17" xfId="0" applyFont="1" applyFill="1" applyBorder="1" applyAlignment="1" applyProtection="1">
      <alignment horizontal="center" vertical="center" wrapText="1"/>
    </xf>
    <xf numFmtId="203" fontId="6" fillId="6" borderId="5" xfId="2" applyNumberFormat="1" applyFont="1" applyFill="1" applyBorder="1" applyProtection="1"/>
    <xf numFmtId="203" fontId="3" fillId="5" borderId="17" xfId="2" applyNumberFormat="1" applyFont="1" applyFill="1" applyBorder="1" applyProtection="1"/>
    <xf numFmtId="203" fontId="3" fillId="6" borderId="8" xfId="2" applyNumberFormat="1" applyFont="1" applyFill="1" applyBorder="1" applyProtection="1"/>
    <xf numFmtId="203" fontId="0" fillId="6" borderId="0" xfId="2" applyNumberFormat="1" applyFont="1" applyFill="1" applyBorder="1" applyProtection="1"/>
    <xf numFmtId="206" fontId="6" fillId="6" borderId="13" xfId="1" applyNumberFormat="1" applyFont="1" applyFill="1" applyBorder="1" applyProtection="1"/>
    <xf numFmtId="206" fontId="3" fillId="5" borderId="17" xfId="1" applyNumberFormat="1" applyFont="1" applyFill="1" applyBorder="1" applyProtection="1"/>
    <xf numFmtId="206" fontId="3" fillId="6" borderId="8" xfId="1" applyNumberFormat="1" applyFont="1" applyFill="1" applyBorder="1" applyProtection="1"/>
    <xf numFmtId="203" fontId="0" fillId="6" borderId="13" xfId="2" applyNumberFormat="1" applyFont="1" applyFill="1" applyBorder="1" applyProtection="1"/>
    <xf numFmtId="203" fontId="0" fillId="6" borderId="8" xfId="2" applyNumberFormat="1" applyFont="1" applyFill="1" applyBorder="1" applyProtection="1"/>
    <xf numFmtId="203" fontId="3" fillId="6" borderId="13" xfId="2" applyNumberFormat="1" applyFont="1" applyFill="1" applyBorder="1" applyProtection="1"/>
    <xf numFmtId="203" fontId="0" fillId="6" borderId="5" xfId="2" applyNumberFormat="1" applyFont="1" applyFill="1" applyBorder="1" applyProtection="1"/>
    <xf numFmtId="203" fontId="3" fillId="6" borderId="5" xfId="2" applyNumberFormat="1" applyFont="1" applyFill="1" applyBorder="1" applyProtection="1"/>
    <xf numFmtId="203" fontId="3" fillId="2" borderId="3" xfId="2" applyNumberFormat="1" applyFont="1" applyFill="1" applyBorder="1" applyProtection="1"/>
    <xf numFmtId="203" fontId="3" fillId="2" borderId="30" xfId="2" applyNumberFormat="1" applyFont="1" applyFill="1" applyBorder="1" applyProtection="1"/>
    <xf numFmtId="0" fontId="0" fillId="6" borderId="0" xfId="0" applyFill="1" applyProtection="1"/>
    <xf numFmtId="0" fontId="0" fillId="0" borderId="0" xfId="0" applyProtection="1"/>
    <xf numFmtId="203" fontId="1" fillId="5" borderId="17" xfId="2" applyNumberFormat="1" applyFont="1" applyFill="1" applyBorder="1" applyProtection="1"/>
    <xf numFmtId="203" fontId="1" fillId="5" borderId="16" xfId="2" applyNumberFormat="1" applyFont="1" applyFill="1" applyBorder="1" applyProtection="1"/>
    <xf numFmtId="203" fontId="1" fillId="5" borderId="17" xfId="2" applyNumberFormat="1" applyFont="1" applyFill="1" applyBorder="1" applyProtection="1">
      <protection locked="0"/>
    </xf>
    <xf numFmtId="203" fontId="3" fillId="5" borderId="0" xfId="2" applyNumberFormat="1" applyFont="1" applyFill="1" applyBorder="1" applyProtection="1"/>
    <xf numFmtId="0" fontId="0" fillId="5" borderId="1" xfId="0" applyFont="1" applyFill="1" applyBorder="1" applyProtection="1">
      <protection locked="0"/>
    </xf>
    <xf numFmtId="203" fontId="15" fillId="5" borderId="1" xfId="2" applyNumberFormat="1" applyFont="1" applyFill="1" applyBorder="1" applyProtection="1">
      <protection locked="0"/>
    </xf>
    <xf numFmtId="206" fontId="15" fillId="5" borderId="1" xfId="1" applyNumberFormat="1" applyFont="1" applyFill="1" applyBorder="1" applyProtection="1">
      <protection locked="0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 cent" xfId="4" builtinId="5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CD"/>
      <rgbColor rgb="0000FF00"/>
      <rgbColor rgb="000000FF"/>
      <rgbColor rgb="00FFFF00"/>
      <rgbColor rgb="00D0D1A1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0080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customXml" Target="../customXml/item1.xml"/><Relationship Id="rId3" Type="http://purl.oclc.org/ooxml/officeDocument/relationships/worksheet" Target="worksheets/sheet3.xml"/><Relationship Id="rId7" Type="http://purl.oclc.org/ooxml/officeDocument/relationships/calcChain" Target="calcChain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Relationship Id="rId9" Type="http://purl.oclc.org/ooxml/officeDocument/relationships/customXml" Target="../customXml/item2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tint val="100%"/>
                <a:shade val="100%"/>
                <a:satMod val="130%"/>
              </a:schemeClr>
            </a:gs>
            <a:gs pos="100%">
              <a:schemeClr val="phClr">
                <a:tint val="50%"/>
                <a:shade val="100%"/>
                <a:satMod val="350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C8D21-9D87-1E48-B9F9-C9D0A060743F}">
  <sheetPr>
    <pageSetUpPr fitToPage="1"/>
  </sheetPr>
  <dimension ref="A1:T36"/>
  <sheetViews>
    <sheetView topLeftCell="A8" zoomScale="150" zoomScaleNormal="150" workbookViewId="0">
      <selection activeCell="A17" sqref="A17:IV19"/>
    </sheetView>
  </sheetViews>
  <sheetFormatPr baseColWidth="10" defaultColWidth="9.1640625" defaultRowHeight="13" x14ac:dyDescent="0.15"/>
  <cols>
    <col min="1" max="1" width="2.83203125" style="11" customWidth="1"/>
    <col min="2" max="16384" width="9.1640625" style="11"/>
  </cols>
  <sheetData>
    <row r="1" spans="1:20" x14ac:dyDescent="0.1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0" ht="25.5" customHeight="1" x14ac:dyDescent="0.2">
      <c r="A2" s="30"/>
      <c r="B2" s="12"/>
      <c r="C2" s="31" t="s">
        <v>114</v>
      </c>
      <c r="D2" s="13"/>
      <c r="E2" s="13"/>
      <c r="F2" s="13"/>
      <c r="G2" s="14"/>
      <c r="H2" s="13"/>
      <c r="I2" s="13"/>
      <c r="J2" s="13"/>
      <c r="K2" s="13"/>
      <c r="L2" s="13"/>
      <c r="M2" s="13"/>
      <c r="N2" s="13"/>
      <c r="O2" s="15"/>
      <c r="P2" s="30"/>
      <c r="Q2" s="30"/>
      <c r="R2" s="30"/>
      <c r="S2" s="30"/>
      <c r="T2" s="30"/>
    </row>
    <row r="3" spans="1:20" x14ac:dyDescent="0.15">
      <c r="A3" s="30"/>
      <c r="B3" s="16"/>
      <c r="C3" s="17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9"/>
      <c r="P3" s="30"/>
      <c r="Q3" s="30"/>
      <c r="R3" s="30"/>
      <c r="S3" s="30"/>
      <c r="T3" s="30"/>
    </row>
    <row r="4" spans="1:20" x14ac:dyDescent="0.15">
      <c r="A4" s="30"/>
      <c r="B4" s="20"/>
      <c r="C4" s="21" t="s">
        <v>112</v>
      </c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3"/>
      <c r="P4" s="30"/>
      <c r="Q4" s="30"/>
      <c r="R4" s="30"/>
      <c r="S4" s="30"/>
      <c r="T4" s="30"/>
    </row>
    <row r="5" spans="1:20" x14ac:dyDescent="0.15">
      <c r="A5" s="30"/>
      <c r="B5" s="20"/>
      <c r="C5" s="22" t="s">
        <v>113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3"/>
      <c r="P5" s="30"/>
      <c r="Q5" s="30"/>
      <c r="R5" s="30"/>
      <c r="S5" s="30"/>
      <c r="T5" s="30"/>
    </row>
    <row r="6" spans="1:20" x14ac:dyDescent="0.15">
      <c r="A6" s="30"/>
      <c r="B6" s="20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3"/>
      <c r="P6" s="30"/>
      <c r="Q6" s="30"/>
      <c r="R6" s="30"/>
      <c r="S6" s="30"/>
      <c r="T6" s="30"/>
    </row>
    <row r="7" spans="1:20" x14ac:dyDescent="0.15">
      <c r="A7" s="30"/>
      <c r="B7" s="20"/>
      <c r="C7" s="24" t="s">
        <v>115</v>
      </c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3"/>
      <c r="P7" s="30"/>
      <c r="Q7" s="30"/>
      <c r="R7" s="30"/>
      <c r="S7" s="30"/>
      <c r="T7" s="30"/>
    </row>
    <row r="8" spans="1:20" x14ac:dyDescent="0.15">
      <c r="A8" s="30"/>
      <c r="B8" s="20"/>
      <c r="C8" s="22" t="s">
        <v>120</v>
      </c>
      <c r="D8" s="25"/>
      <c r="E8" s="22"/>
      <c r="F8" s="22"/>
      <c r="G8" s="22"/>
      <c r="H8" s="22"/>
      <c r="I8" s="22"/>
      <c r="J8" s="22"/>
      <c r="K8" s="22"/>
      <c r="L8" s="22"/>
      <c r="M8" s="22"/>
      <c r="N8" s="22"/>
      <c r="O8" s="23"/>
      <c r="P8" s="30"/>
      <c r="Q8" s="30"/>
      <c r="R8" s="30"/>
      <c r="S8" s="30"/>
      <c r="T8" s="30"/>
    </row>
    <row r="9" spans="1:20" x14ac:dyDescent="0.15">
      <c r="A9" s="30"/>
      <c r="B9" s="20"/>
      <c r="C9" s="22"/>
      <c r="D9" s="22" t="s">
        <v>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3"/>
      <c r="P9" s="30"/>
      <c r="Q9" s="30"/>
      <c r="R9" s="30"/>
      <c r="S9" s="30"/>
      <c r="T9" s="30"/>
    </row>
    <row r="10" spans="1:20" x14ac:dyDescent="0.15">
      <c r="A10" s="30"/>
      <c r="B10" s="20"/>
      <c r="C10" s="24" t="s">
        <v>116</v>
      </c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30"/>
      <c r="Q10" s="30"/>
      <c r="R10" s="30"/>
      <c r="S10" s="30"/>
      <c r="T10" s="30"/>
    </row>
    <row r="11" spans="1:20" x14ac:dyDescent="0.15">
      <c r="A11" s="30"/>
      <c r="B11" s="20"/>
      <c r="C11" s="22" t="s">
        <v>124</v>
      </c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30"/>
      <c r="Q11" s="30"/>
      <c r="R11" s="30"/>
      <c r="S11" s="30"/>
      <c r="T11" s="30"/>
    </row>
    <row r="12" spans="1:20" x14ac:dyDescent="0.15">
      <c r="A12" s="30"/>
      <c r="B12" s="20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30"/>
      <c r="Q12" s="30"/>
      <c r="R12" s="30"/>
      <c r="S12" s="30"/>
      <c r="T12" s="30"/>
    </row>
    <row r="13" spans="1:20" x14ac:dyDescent="0.15">
      <c r="A13" s="30"/>
      <c r="B13" s="20"/>
      <c r="C13" s="24" t="s">
        <v>117</v>
      </c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30"/>
      <c r="Q13" s="30"/>
      <c r="R13" s="30"/>
      <c r="S13" s="30"/>
      <c r="T13" s="30"/>
    </row>
    <row r="14" spans="1:20" x14ac:dyDescent="0.15">
      <c r="A14" s="30"/>
      <c r="B14" s="20"/>
      <c r="C14" s="22" t="s">
        <v>125</v>
      </c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30"/>
      <c r="Q14" s="30"/>
      <c r="R14" s="30"/>
      <c r="S14" s="30"/>
      <c r="T14" s="30"/>
    </row>
    <row r="15" spans="1:20" x14ac:dyDescent="0.15">
      <c r="A15" s="30"/>
      <c r="B15" s="20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30"/>
      <c r="Q15" s="30"/>
      <c r="R15" s="30"/>
      <c r="S15" s="30"/>
      <c r="T15" s="30"/>
    </row>
    <row r="16" spans="1:20" x14ac:dyDescent="0.15">
      <c r="A16" s="30"/>
      <c r="B16" s="20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30"/>
      <c r="Q16" s="30"/>
      <c r="R16" s="30"/>
      <c r="S16" s="30"/>
      <c r="T16" s="30"/>
    </row>
    <row r="17" spans="1:20" x14ac:dyDescent="0.15">
      <c r="A17" s="30"/>
      <c r="B17" s="20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30"/>
      <c r="Q17" s="30"/>
      <c r="R17" s="30"/>
      <c r="S17" s="30"/>
      <c r="T17" s="30"/>
    </row>
    <row r="18" spans="1:20" x14ac:dyDescent="0.15">
      <c r="A18" s="30"/>
      <c r="B18" s="20"/>
      <c r="C18" s="26" t="s">
        <v>118</v>
      </c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30"/>
      <c r="Q18" s="30"/>
      <c r="R18" s="30"/>
      <c r="S18" s="30"/>
      <c r="T18" s="30"/>
    </row>
    <row r="19" spans="1:20" x14ac:dyDescent="0.15">
      <c r="A19" s="30"/>
      <c r="B19" s="20"/>
      <c r="C19" s="22" t="s">
        <v>119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30"/>
      <c r="Q19" s="30"/>
      <c r="R19" s="30"/>
      <c r="S19" s="30"/>
      <c r="T19" s="30"/>
    </row>
    <row r="20" spans="1:20" x14ac:dyDescent="0.15">
      <c r="A20" s="30"/>
      <c r="B20" s="20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30"/>
      <c r="Q20" s="30"/>
      <c r="R20" s="30"/>
      <c r="S20" s="30"/>
      <c r="T20" s="30"/>
    </row>
    <row r="21" spans="1:20" x14ac:dyDescent="0.15">
      <c r="A21" s="30"/>
      <c r="B21" s="27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9"/>
      <c r="P21" s="30"/>
      <c r="Q21" s="30"/>
      <c r="R21" s="30"/>
      <c r="S21" s="30"/>
      <c r="T21" s="30"/>
    </row>
    <row r="22" spans="1:20" x14ac:dyDescent="0.1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</row>
    <row r="23" spans="1:20" x14ac:dyDescent="0.15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</row>
    <row r="24" spans="1:20" x14ac:dyDescent="0.15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</row>
    <row r="25" spans="1:20" x14ac:dyDescent="0.15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</row>
    <row r="26" spans="1:20" x14ac:dyDescent="0.1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</row>
    <row r="27" spans="1:20" x14ac:dyDescent="0.1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</row>
    <row r="28" spans="1:20" x14ac:dyDescent="0.1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</row>
    <row r="29" spans="1:20" x14ac:dyDescent="0.15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</row>
    <row r="30" spans="1:20" x14ac:dyDescent="0.15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</row>
    <row r="31" spans="1:20" x14ac:dyDescent="0.15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</row>
    <row r="32" spans="1:20" x14ac:dyDescent="0.1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</row>
    <row r="33" spans="1:20" x14ac:dyDescent="0.15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</row>
    <row r="34" spans="1:20" x14ac:dyDescent="0.15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</row>
    <row r="35" spans="1:20" x14ac:dyDescent="0.1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</row>
    <row r="36" spans="1:20" x14ac:dyDescent="0.15">
      <c r="A36" s="30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</row>
  </sheetData>
  <phoneticPr fontId="0" type="noConversion"/>
  <pageMargins left="0.36000000000000004" right="0.39000000000000007" top="0.43000000000000005" bottom="0.76" header="0.29000000000000004" footer="0.5"/>
  <pageSetup orientation="landscape"/>
  <headerFooter alignWithMargins="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4DE71-790C-884B-AFA1-33C137400D32}">
  <dimension ref="A1:S3069"/>
  <sheetViews>
    <sheetView showGridLines="0" tabSelected="1" zoomScale="140" zoomScaleNormal="200" workbookViewId="0">
      <pane xSplit="1" ySplit="2" topLeftCell="B3" activePane="bottomRight" state="frozen"/>
      <selection activeCell="R26" sqref="R26"/>
      <selection pane="topRight" activeCell="R26" sqref="R26"/>
      <selection pane="bottomLeft" activeCell="R26" sqref="R26"/>
      <selection pane="bottomRight" activeCell="C18" sqref="C18"/>
    </sheetView>
  </sheetViews>
  <sheetFormatPr baseColWidth="10" defaultColWidth="8.83203125" defaultRowHeight="13" x14ac:dyDescent="0.15"/>
  <cols>
    <col min="1" max="1" width="47.83203125" customWidth="1"/>
    <col min="2" max="2" width="10.5" style="1" customWidth="1"/>
    <col min="3" max="14" width="9.6640625" customWidth="1"/>
    <col min="15" max="15" width="10.6640625" style="1" customWidth="1"/>
    <col min="16" max="16" width="33.6640625" customWidth="1"/>
  </cols>
  <sheetData>
    <row r="1" spans="1:19" ht="30" customHeight="1" x14ac:dyDescent="0.15">
      <c r="A1" s="32" t="s">
        <v>90</v>
      </c>
      <c r="B1" s="33" t="s">
        <v>89</v>
      </c>
      <c r="C1" s="34" t="s">
        <v>63</v>
      </c>
      <c r="D1" s="34" t="s">
        <v>64</v>
      </c>
      <c r="E1" s="34" t="s">
        <v>65</v>
      </c>
      <c r="F1" s="34" t="s">
        <v>66</v>
      </c>
      <c r="G1" s="34" t="s">
        <v>67</v>
      </c>
      <c r="H1" s="34" t="s">
        <v>68</v>
      </c>
      <c r="I1" s="34" t="s">
        <v>69</v>
      </c>
      <c r="J1" s="34" t="s">
        <v>70</v>
      </c>
      <c r="K1" s="34" t="s">
        <v>71</v>
      </c>
      <c r="L1" s="34" t="s">
        <v>72</v>
      </c>
      <c r="M1" s="34" t="s">
        <v>73</v>
      </c>
      <c r="N1" s="34" t="s">
        <v>74</v>
      </c>
      <c r="O1" s="33" t="s">
        <v>75</v>
      </c>
      <c r="P1" s="102" t="s">
        <v>93</v>
      </c>
      <c r="Q1" s="53"/>
      <c r="R1" s="53"/>
      <c r="S1" s="53"/>
    </row>
    <row r="2" spans="1:19" ht="15.75" customHeight="1" thickBot="1" x14ac:dyDescent="0.25">
      <c r="A2" s="35" t="s">
        <v>107</v>
      </c>
      <c r="B2" s="36" t="s">
        <v>108</v>
      </c>
      <c r="C2" s="37" t="s">
        <v>95</v>
      </c>
      <c r="D2" s="37" t="s">
        <v>96</v>
      </c>
      <c r="E2" s="37" t="s">
        <v>97</v>
      </c>
      <c r="F2" s="37" t="s">
        <v>98</v>
      </c>
      <c r="G2" s="37" t="s">
        <v>1</v>
      </c>
      <c r="H2" s="37" t="s">
        <v>99</v>
      </c>
      <c r="I2" s="37" t="s">
        <v>100</v>
      </c>
      <c r="J2" s="37" t="s">
        <v>101</v>
      </c>
      <c r="K2" s="37" t="s">
        <v>102</v>
      </c>
      <c r="L2" s="37" t="s">
        <v>103</v>
      </c>
      <c r="M2" s="37" t="s">
        <v>104</v>
      </c>
      <c r="N2" s="37" t="s">
        <v>105</v>
      </c>
      <c r="O2" s="38"/>
      <c r="P2" s="103"/>
      <c r="Q2" s="53"/>
      <c r="R2" s="53"/>
      <c r="S2" s="53"/>
    </row>
    <row r="3" spans="1:19" x14ac:dyDescent="0.15">
      <c r="A3" s="70" t="s">
        <v>62</v>
      </c>
      <c r="B3" s="84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97"/>
      <c r="P3" s="101"/>
      <c r="Q3" s="53"/>
      <c r="R3" s="53"/>
      <c r="S3" s="53"/>
    </row>
    <row r="4" spans="1:19" x14ac:dyDescent="0.15">
      <c r="A4" s="71" t="s">
        <v>60</v>
      </c>
      <c r="B4" s="158">
        <f>15000*12</f>
        <v>180000</v>
      </c>
      <c r="C4" s="86" t="s">
        <v>126</v>
      </c>
      <c r="D4" s="86" t="s">
        <v>126</v>
      </c>
      <c r="E4" s="86" t="s">
        <v>126</v>
      </c>
      <c r="F4" s="86" t="s">
        <v>126</v>
      </c>
      <c r="G4" s="86" t="s">
        <v>126</v>
      </c>
      <c r="H4" s="86" t="s">
        <v>126</v>
      </c>
      <c r="I4" s="86" t="s">
        <v>126</v>
      </c>
      <c r="J4" s="86" t="s">
        <v>126</v>
      </c>
      <c r="K4" s="86" t="s">
        <v>126</v>
      </c>
      <c r="L4" s="86" t="s">
        <v>126</v>
      </c>
      <c r="M4" s="86" t="s">
        <v>126</v>
      </c>
      <c r="N4" s="86" t="s">
        <v>126</v>
      </c>
      <c r="O4" s="76">
        <v>198000</v>
      </c>
      <c r="P4" s="157" t="s">
        <v>122</v>
      </c>
      <c r="Q4" s="104"/>
      <c r="R4" s="53"/>
      <c r="S4" s="53"/>
    </row>
    <row r="5" spans="1:19" x14ac:dyDescent="0.15">
      <c r="A5" s="71" t="s">
        <v>61</v>
      </c>
      <c r="B5" s="158">
        <v>20000</v>
      </c>
      <c r="C5" s="86">
        <v>0</v>
      </c>
      <c r="D5" s="86">
        <v>0</v>
      </c>
      <c r="E5" s="86">
        <v>0</v>
      </c>
      <c r="F5" s="86">
        <v>0</v>
      </c>
      <c r="G5" s="86">
        <v>0</v>
      </c>
      <c r="H5" s="86">
        <v>0</v>
      </c>
      <c r="I5" s="86">
        <v>0</v>
      </c>
      <c r="J5" s="86">
        <v>0</v>
      </c>
      <c r="K5" s="86">
        <v>0</v>
      </c>
      <c r="L5" s="86">
        <v>0</v>
      </c>
      <c r="M5" s="86">
        <v>0</v>
      </c>
      <c r="N5" s="86">
        <v>0</v>
      </c>
      <c r="O5" s="76">
        <v>0</v>
      </c>
      <c r="P5" s="157" t="s">
        <v>123</v>
      </c>
      <c r="Q5" s="53"/>
      <c r="R5" s="53"/>
      <c r="S5" s="53"/>
    </row>
    <row r="6" spans="1:19" x14ac:dyDescent="0.15">
      <c r="A6" s="71" t="s">
        <v>33</v>
      </c>
      <c r="B6" s="44"/>
      <c r="C6" s="45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98">
        <f t="shared" ref="O5:O69" si="0">SUM(C6:N6)</f>
        <v>0</v>
      </c>
      <c r="P6" s="41"/>
      <c r="Q6" s="53"/>
      <c r="R6" s="53"/>
      <c r="S6" s="53"/>
    </row>
    <row r="7" spans="1:19" s="1" customFormat="1" x14ac:dyDescent="0.15">
      <c r="A7" s="55" t="s">
        <v>92</v>
      </c>
      <c r="B7" s="46">
        <f t="shared" ref="B7:N7" si="1">SUM(B4:B6)</f>
        <v>200000</v>
      </c>
      <c r="C7" s="50">
        <f t="shared" si="1"/>
        <v>0</v>
      </c>
      <c r="D7" s="50">
        <f t="shared" si="1"/>
        <v>0</v>
      </c>
      <c r="E7" s="50">
        <f t="shared" si="1"/>
        <v>0</v>
      </c>
      <c r="F7" s="50">
        <f t="shared" si="1"/>
        <v>0</v>
      </c>
      <c r="G7" s="50">
        <f t="shared" si="1"/>
        <v>0</v>
      </c>
      <c r="H7" s="50">
        <f t="shared" si="1"/>
        <v>0</v>
      </c>
      <c r="I7" s="50">
        <f t="shared" si="1"/>
        <v>0</v>
      </c>
      <c r="J7" s="50">
        <f t="shared" si="1"/>
        <v>0</v>
      </c>
      <c r="K7" s="50">
        <f t="shared" si="1"/>
        <v>0</v>
      </c>
      <c r="L7" s="50">
        <f t="shared" si="1"/>
        <v>0</v>
      </c>
      <c r="M7" s="50">
        <f t="shared" si="1"/>
        <v>0</v>
      </c>
      <c r="N7" s="50">
        <f t="shared" si="1"/>
        <v>0</v>
      </c>
      <c r="O7" s="76">
        <f t="shared" si="0"/>
        <v>0</v>
      </c>
      <c r="P7" s="41"/>
      <c r="Q7" s="54"/>
      <c r="R7" s="54"/>
      <c r="S7" s="54"/>
    </row>
    <row r="8" spans="1:19" s="1" customFormat="1" x14ac:dyDescent="0.15">
      <c r="A8" s="55"/>
      <c r="B8" s="87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4"/>
      <c r="P8" s="41"/>
      <c r="Q8" s="54"/>
      <c r="R8" s="54"/>
      <c r="S8" s="54"/>
    </row>
    <row r="9" spans="1:19" x14ac:dyDescent="0.15">
      <c r="A9" s="55" t="s">
        <v>2</v>
      </c>
      <c r="B9" s="80"/>
      <c r="C9" s="60"/>
      <c r="D9" s="60"/>
      <c r="E9" s="60"/>
      <c r="F9" s="60"/>
      <c r="G9" s="60"/>
      <c r="H9" s="60"/>
      <c r="I9" s="60"/>
      <c r="J9" s="60"/>
      <c r="K9" s="60"/>
      <c r="L9" s="60"/>
      <c r="M9" s="60"/>
      <c r="N9" s="60"/>
      <c r="O9" s="61"/>
      <c r="P9" s="41"/>
      <c r="Q9" s="53"/>
      <c r="R9" s="53"/>
      <c r="S9" s="53"/>
    </row>
    <row r="10" spans="1:19" x14ac:dyDescent="0.15">
      <c r="A10" s="55" t="s">
        <v>3</v>
      </c>
      <c r="B10" s="4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76"/>
      <c r="P10" s="41"/>
      <c r="Q10" s="53"/>
      <c r="R10" s="53"/>
      <c r="S10" s="53"/>
    </row>
    <row r="11" spans="1:19" x14ac:dyDescent="0.15">
      <c r="A11" s="71" t="s">
        <v>4</v>
      </c>
      <c r="B11" s="159">
        <v>5</v>
      </c>
      <c r="C11" s="90">
        <v>6</v>
      </c>
      <c r="D11" s="90">
        <v>6</v>
      </c>
      <c r="E11" s="90">
        <v>6</v>
      </c>
      <c r="F11" s="90">
        <v>6</v>
      </c>
      <c r="G11" s="90">
        <v>6</v>
      </c>
      <c r="H11" s="90">
        <v>6</v>
      </c>
      <c r="I11" s="90">
        <v>6</v>
      </c>
      <c r="J11" s="90">
        <v>6</v>
      </c>
      <c r="K11" s="90">
        <v>6</v>
      </c>
      <c r="L11" s="90">
        <v>6</v>
      </c>
      <c r="M11" s="90">
        <v>6</v>
      </c>
      <c r="N11" s="90">
        <v>6</v>
      </c>
      <c r="O11" s="99"/>
      <c r="P11" s="41"/>
      <c r="Q11" s="53"/>
      <c r="R11" s="53"/>
      <c r="S11" s="53"/>
    </row>
    <row r="12" spans="1:19" x14ac:dyDescent="0.15">
      <c r="A12" s="71" t="s">
        <v>5</v>
      </c>
      <c r="B12" s="159">
        <v>3</v>
      </c>
      <c r="C12" s="90">
        <v>3</v>
      </c>
      <c r="D12" s="90">
        <v>3</v>
      </c>
      <c r="E12" s="90">
        <v>3</v>
      </c>
      <c r="F12" s="90">
        <v>3</v>
      </c>
      <c r="G12" s="90">
        <v>3</v>
      </c>
      <c r="H12" s="90">
        <v>8</v>
      </c>
      <c r="I12" s="90">
        <v>8</v>
      </c>
      <c r="J12" s="90">
        <v>8</v>
      </c>
      <c r="K12" s="90">
        <v>8</v>
      </c>
      <c r="L12" s="90">
        <v>8</v>
      </c>
      <c r="M12" s="90">
        <v>8</v>
      </c>
      <c r="N12" s="90">
        <v>3</v>
      </c>
      <c r="O12" s="99"/>
      <c r="P12" s="41"/>
      <c r="Q12" s="53"/>
      <c r="R12" s="53"/>
      <c r="S12" s="53"/>
    </row>
    <row r="13" spans="1:19" x14ac:dyDescent="0.15">
      <c r="A13" s="71" t="s">
        <v>6</v>
      </c>
      <c r="B13" s="48"/>
      <c r="C13" s="49">
        <v>0</v>
      </c>
      <c r="D13" s="49">
        <v>0</v>
      </c>
      <c r="E13" s="49">
        <v>1</v>
      </c>
      <c r="F13" s="49">
        <v>1</v>
      </c>
      <c r="G13" s="49">
        <v>1</v>
      </c>
      <c r="H13" s="49">
        <v>1</v>
      </c>
      <c r="I13" s="49">
        <v>1</v>
      </c>
      <c r="J13" s="49">
        <v>1</v>
      </c>
      <c r="K13" s="49">
        <v>1</v>
      </c>
      <c r="L13" s="49">
        <v>1</v>
      </c>
      <c r="M13" s="49">
        <v>1</v>
      </c>
      <c r="N13" s="49">
        <v>1</v>
      </c>
      <c r="O13" s="100"/>
      <c r="P13" s="41"/>
      <c r="Q13" s="53"/>
      <c r="R13" s="53"/>
      <c r="S13" s="53"/>
    </row>
    <row r="14" spans="1:19" s="1" customFormat="1" x14ac:dyDescent="0.15">
      <c r="A14" s="55" t="s">
        <v>7</v>
      </c>
      <c r="B14" s="47">
        <f t="shared" ref="B14:N14" si="2">SUM(B11:B13)</f>
        <v>8</v>
      </c>
      <c r="C14" s="91">
        <f t="shared" si="2"/>
        <v>9</v>
      </c>
      <c r="D14" s="91">
        <f t="shared" si="2"/>
        <v>9</v>
      </c>
      <c r="E14" s="91">
        <f t="shared" si="2"/>
        <v>10</v>
      </c>
      <c r="F14" s="91">
        <f t="shared" si="2"/>
        <v>10</v>
      </c>
      <c r="G14" s="91">
        <f t="shared" si="2"/>
        <v>10</v>
      </c>
      <c r="H14" s="91">
        <f t="shared" si="2"/>
        <v>15</v>
      </c>
      <c r="I14" s="91">
        <f t="shared" si="2"/>
        <v>15</v>
      </c>
      <c r="J14" s="91">
        <f t="shared" si="2"/>
        <v>15</v>
      </c>
      <c r="K14" s="91">
        <f t="shared" si="2"/>
        <v>15</v>
      </c>
      <c r="L14" s="91">
        <f t="shared" si="2"/>
        <v>15</v>
      </c>
      <c r="M14" s="91">
        <f t="shared" si="2"/>
        <v>15</v>
      </c>
      <c r="N14" s="91">
        <f t="shared" si="2"/>
        <v>10</v>
      </c>
      <c r="O14" s="99"/>
      <c r="P14" s="41"/>
      <c r="Q14" s="54"/>
      <c r="R14" s="54"/>
      <c r="S14" s="54"/>
    </row>
    <row r="15" spans="1:19" s="1" customFormat="1" x14ac:dyDescent="0.15">
      <c r="A15" s="55"/>
      <c r="B15" s="92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41"/>
      <c r="Q15" s="54"/>
      <c r="R15" s="54"/>
      <c r="S15" s="54"/>
    </row>
    <row r="16" spans="1:19" x14ac:dyDescent="0.15">
      <c r="A16" s="55" t="s">
        <v>121</v>
      </c>
      <c r="B16" s="93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8"/>
      <c r="P16" s="41"/>
      <c r="Q16" s="53"/>
      <c r="R16" s="53"/>
      <c r="S16" s="53"/>
    </row>
    <row r="17" spans="1:19" x14ac:dyDescent="0.15">
      <c r="A17" s="55" t="s">
        <v>8</v>
      </c>
      <c r="B17" s="80"/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1"/>
      <c r="P17" s="41"/>
      <c r="Q17" s="53"/>
      <c r="R17" s="53"/>
      <c r="S17" s="53"/>
    </row>
    <row r="18" spans="1:19" x14ac:dyDescent="0.15">
      <c r="A18" s="71" t="s">
        <v>9</v>
      </c>
      <c r="B18" s="158">
        <v>325000</v>
      </c>
      <c r="C18" s="86">
        <f>K10</f>
        <v>0</v>
      </c>
      <c r="D18" s="86">
        <f t="shared" ref="D18:N18" si="3">D11*5400</f>
        <v>32400</v>
      </c>
      <c r="E18" s="86">
        <f t="shared" si="3"/>
        <v>32400</v>
      </c>
      <c r="F18" s="86">
        <f t="shared" si="3"/>
        <v>32400</v>
      </c>
      <c r="G18" s="86">
        <f t="shared" si="3"/>
        <v>32400</v>
      </c>
      <c r="H18" s="86">
        <f t="shared" si="3"/>
        <v>32400</v>
      </c>
      <c r="I18" s="86">
        <f t="shared" si="3"/>
        <v>32400</v>
      </c>
      <c r="J18" s="86">
        <f t="shared" si="3"/>
        <v>32400</v>
      </c>
      <c r="K18" s="86">
        <f t="shared" si="3"/>
        <v>32400</v>
      </c>
      <c r="L18" s="86">
        <f t="shared" si="3"/>
        <v>32400</v>
      </c>
      <c r="M18" s="86">
        <f t="shared" si="3"/>
        <v>32400</v>
      </c>
      <c r="N18" s="86">
        <f t="shared" si="3"/>
        <v>32400</v>
      </c>
      <c r="O18" s="76">
        <f t="shared" si="0"/>
        <v>356400</v>
      </c>
      <c r="P18" s="157"/>
      <c r="Q18" s="53"/>
      <c r="R18" s="53"/>
      <c r="S18" s="53"/>
    </row>
    <row r="19" spans="1:19" x14ac:dyDescent="0.15">
      <c r="A19" s="71" t="s">
        <v>10</v>
      </c>
      <c r="B19" s="158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76">
        <f t="shared" si="0"/>
        <v>0</v>
      </c>
      <c r="P19" s="41"/>
      <c r="Q19" s="53"/>
      <c r="R19" s="53"/>
      <c r="S19" s="53"/>
    </row>
    <row r="20" spans="1:19" x14ac:dyDescent="0.15">
      <c r="A20" s="71" t="s">
        <v>15</v>
      </c>
      <c r="B20" s="158">
        <v>40000</v>
      </c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76">
        <f t="shared" si="0"/>
        <v>0</v>
      </c>
      <c r="P20" s="157"/>
      <c r="Q20" s="53"/>
      <c r="R20" s="53"/>
      <c r="S20" s="53"/>
    </row>
    <row r="21" spans="1:19" x14ac:dyDescent="0.15">
      <c r="A21" s="71" t="s">
        <v>11</v>
      </c>
      <c r="B21" s="158"/>
      <c r="C21" s="86">
        <f>C11*120</f>
        <v>720</v>
      </c>
      <c r="D21" s="86">
        <f t="shared" ref="D21:N21" si="4">D11*120</f>
        <v>720</v>
      </c>
      <c r="E21" s="86">
        <f t="shared" si="4"/>
        <v>720</v>
      </c>
      <c r="F21" s="86">
        <f t="shared" si="4"/>
        <v>720</v>
      </c>
      <c r="G21" s="86">
        <f t="shared" si="4"/>
        <v>720</v>
      </c>
      <c r="H21" s="86">
        <f t="shared" si="4"/>
        <v>720</v>
      </c>
      <c r="I21" s="86">
        <f t="shared" si="4"/>
        <v>720</v>
      </c>
      <c r="J21" s="86">
        <f t="shared" si="4"/>
        <v>720</v>
      </c>
      <c r="K21" s="86">
        <f t="shared" si="4"/>
        <v>720</v>
      </c>
      <c r="L21" s="86">
        <f t="shared" si="4"/>
        <v>720</v>
      </c>
      <c r="M21" s="86">
        <f t="shared" si="4"/>
        <v>720</v>
      </c>
      <c r="N21" s="86">
        <f t="shared" si="4"/>
        <v>720</v>
      </c>
      <c r="O21" s="76">
        <f t="shared" si="0"/>
        <v>8640</v>
      </c>
      <c r="P21" s="157"/>
      <c r="Q21" s="53"/>
      <c r="R21" s="53"/>
      <c r="S21" s="53"/>
    </row>
    <row r="22" spans="1:19" x14ac:dyDescent="0.15">
      <c r="A22" s="71" t="s">
        <v>12</v>
      </c>
      <c r="B22" s="158"/>
      <c r="C22" s="86">
        <f>C13*10000</f>
        <v>0</v>
      </c>
      <c r="D22" s="86">
        <f t="shared" ref="D22:N22" si="5">D13*10000</f>
        <v>0</v>
      </c>
      <c r="E22" s="86">
        <f t="shared" si="5"/>
        <v>10000</v>
      </c>
      <c r="F22" s="86">
        <f t="shared" si="5"/>
        <v>10000</v>
      </c>
      <c r="G22" s="86">
        <f t="shared" si="5"/>
        <v>10000</v>
      </c>
      <c r="H22" s="86">
        <f t="shared" si="5"/>
        <v>10000</v>
      </c>
      <c r="I22" s="86">
        <f t="shared" si="5"/>
        <v>10000</v>
      </c>
      <c r="J22" s="86">
        <f t="shared" si="5"/>
        <v>10000</v>
      </c>
      <c r="K22" s="86">
        <f t="shared" si="5"/>
        <v>10000</v>
      </c>
      <c r="L22" s="86">
        <f t="shared" si="5"/>
        <v>10000</v>
      </c>
      <c r="M22" s="86">
        <f t="shared" si="5"/>
        <v>10000</v>
      </c>
      <c r="N22" s="86">
        <f t="shared" si="5"/>
        <v>10000</v>
      </c>
      <c r="O22" s="76">
        <f t="shared" si="0"/>
        <v>100000</v>
      </c>
      <c r="P22" s="157"/>
      <c r="Q22" s="53"/>
      <c r="R22" s="53"/>
      <c r="S22" s="53"/>
    </row>
    <row r="23" spans="1:19" x14ac:dyDescent="0.15">
      <c r="A23" s="71" t="s">
        <v>13</v>
      </c>
      <c r="B23" s="158">
        <v>255000</v>
      </c>
      <c r="C23" s="86">
        <f>C12*85000/12</f>
        <v>21250</v>
      </c>
      <c r="D23" s="86">
        <f t="shared" ref="D23:N23" si="6">D12*85000/12</f>
        <v>21250</v>
      </c>
      <c r="E23" s="86">
        <f t="shared" si="6"/>
        <v>21250</v>
      </c>
      <c r="F23" s="86">
        <f t="shared" si="6"/>
        <v>21250</v>
      </c>
      <c r="G23" s="86">
        <f t="shared" si="6"/>
        <v>21250</v>
      </c>
      <c r="H23" s="86">
        <f t="shared" si="6"/>
        <v>56666.666666666664</v>
      </c>
      <c r="I23" s="86">
        <f t="shared" si="6"/>
        <v>56666.666666666664</v>
      </c>
      <c r="J23" s="86">
        <f t="shared" si="6"/>
        <v>56666.666666666664</v>
      </c>
      <c r="K23" s="86">
        <f t="shared" si="6"/>
        <v>56666.666666666664</v>
      </c>
      <c r="L23" s="86">
        <f t="shared" si="6"/>
        <v>56666.666666666664</v>
      </c>
      <c r="M23" s="86">
        <f t="shared" si="6"/>
        <v>56666.666666666664</v>
      </c>
      <c r="N23" s="86">
        <f t="shared" si="6"/>
        <v>21250</v>
      </c>
      <c r="O23" s="76">
        <f t="shared" si="0"/>
        <v>467500.00000000006</v>
      </c>
      <c r="P23" s="157"/>
      <c r="Q23" s="53"/>
      <c r="R23" s="53"/>
      <c r="S23" s="53"/>
    </row>
    <row r="24" spans="1:19" x14ac:dyDescent="0.15">
      <c r="A24" s="71" t="s">
        <v>14</v>
      </c>
      <c r="B24" s="158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76">
        <f t="shared" si="0"/>
        <v>0</v>
      </c>
      <c r="P24" s="157"/>
      <c r="Q24" s="53"/>
      <c r="R24" s="53"/>
      <c r="S24" s="53"/>
    </row>
    <row r="25" spans="1:19" x14ac:dyDescent="0.15">
      <c r="A25" s="71" t="s">
        <v>91</v>
      </c>
      <c r="B25" s="42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76">
        <f t="shared" si="0"/>
        <v>0</v>
      </c>
      <c r="P25" s="157"/>
      <c r="Q25" s="53"/>
      <c r="R25" s="53"/>
      <c r="S25" s="53"/>
    </row>
    <row r="26" spans="1:19" x14ac:dyDescent="0.15">
      <c r="A26" s="71" t="s">
        <v>22</v>
      </c>
      <c r="B26" s="42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76">
        <f t="shared" si="0"/>
        <v>0</v>
      </c>
      <c r="P26" s="157"/>
      <c r="Q26" s="53"/>
      <c r="R26" s="53"/>
      <c r="S26" s="53"/>
    </row>
    <row r="27" spans="1:19" x14ac:dyDescent="0.15">
      <c r="A27" s="71" t="s">
        <v>23</v>
      </c>
      <c r="B27" s="42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76">
        <f t="shared" si="0"/>
        <v>0</v>
      </c>
      <c r="P27" s="157"/>
      <c r="Q27" s="53"/>
      <c r="R27" s="53"/>
      <c r="S27" s="53"/>
    </row>
    <row r="28" spans="1:19" x14ac:dyDescent="0.15">
      <c r="A28" s="71" t="s">
        <v>24</v>
      </c>
      <c r="B28" s="42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76">
        <f t="shared" si="0"/>
        <v>0</v>
      </c>
      <c r="P28" s="157"/>
      <c r="Q28" s="53"/>
      <c r="R28" s="53"/>
      <c r="S28" s="53"/>
    </row>
    <row r="29" spans="1:19" x14ac:dyDescent="0.15">
      <c r="A29" s="71" t="s">
        <v>16</v>
      </c>
      <c r="B29" s="44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98">
        <f t="shared" si="0"/>
        <v>0</v>
      </c>
      <c r="P29" s="157"/>
      <c r="Q29" s="53"/>
      <c r="R29" s="53"/>
      <c r="S29" s="53"/>
    </row>
    <row r="30" spans="1:19" s="1" customFormat="1" x14ac:dyDescent="0.15">
      <c r="A30" s="55" t="s">
        <v>76</v>
      </c>
      <c r="B30" s="46">
        <f t="shared" ref="B30:N30" si="7">SUM(B18:B29)</f>
        <v>620000</v>
      </c>
      <c r="C30" s="50">
        <f t="shared" si="7"/>
        <v>21970</v>
      </c>
      <c r="D30" s="50">
        <f t="shared" si="7"/>
        <v>54370</v>
      </c>
      <c r="E30" s="50">
        <f t="shared" si="7"/>
        <v>64370</v>
      </c>
      <c r="F30" s="50">
        <f t="shared" si="7"/>
        <v>64370</v>
      </c>
      <c r="G30" s="50">
        <f t="shared" si="7"/>
        <v>64370</v>
      </c>
      <c r="H30" s="50">
        <f t="shared" si="7"/>
        <v>99786.666666666657</v>
      </c>
      <c r="I30" s="50">
        <f t="shared" si="7"/>
        <v>99786.666666666657</v>
      </c>
      <c r="J30" s="50">
        <f t="shared" si="7"/>
        <v>99786.666666666657</v>
      </c>
      <c r="K30" s="50">
        <f t="shared" si="7"/>
        <v>99786.666666666657</v>
      </c>
      <c r="L30" s="50">
        <f t="shared" si="7"/>
        <v>99786.666666666657</v>
      </c>
      <c r="M30" s="50">
        <f t="shared" si="7"/>
        <v>99786.666666666657</v>
      </c>
      <c r="N30" s="50">
        <f t="shared" si="7"/>
        <v>64370</v>
      </c>
      <c r="O30" s="76">
        <f t="shared" si="0"/>
        <v>932539.99999999977</v>
      </c>
      <c r="P30" s="41"/>
      <c r="Q30" s="54"/>
      <c r="R30" s="54"/>
      <c r="S30" s="54"/>
    </row>
    <row r="31" spans="1:19" x14ac:dyDescent="0.15">
      <c r="A31" s="71"/>
      <c r="B31" s="87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4"/>
      <c r="P31" s="41"/>
      <c r="Q31" s="53"/>
      <c r="R31" s="53"/>
      <c r="S31" s="53"/>
    </row>
    <row r="32" spans="1:19" x14ac:dyDescent="0.15">
      <c r="A32" s="55" t="s">
        <v>17</v>
      </c>
      <c r="B32" s="8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1"/>
      <c r="P32" s="41"/>
      <c r="Q32" s="53"/>
      <c r="R32" s="53"/>
      <c r="S32" s="53"/>
    </row>
    <row r="33" spans="1:19" x14ac:dyDescent="0.15">
      <c r="A33" s="71" t="s">
        <v>18</v>
      </c>
      <c r="B33" s="42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76">
        <f t="shared" si="0"/>
        <v>0</v>
      </c>
      <c r="P33" s="157"/>
      <c r="Q33" s="53"/>
      <c r="R33" s="53"/>
      <c r="S33" s="53"/>
    </row>
    <row r="34" spans="1:19" x14ac:dyDescent="0.15">
      <c r="A34" s="71" t="s">
        <v>19</v>
      </c>
      <c r="B34" s="42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76">
        <f t="shared" si="0"/>
        <v>0</v>
      </c>
      <c r="P34" s="157"/>
      <c r="Q34" s="53"/>
      <c r="R34" s="53"/>
      <c r="S34" s="53"/>
    </row>
    <row r="35" spans="1:19" x14ac:dyDescent="0.15">
      <c r="A35" s="71" t="s">
        <v>20</v>
      </c>
      <c r="B35" s="42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76">
        <f t="shared" si="0"/>
        <v>0</v>
      </c>
      <c r="P35" s="157"/>
      <c r="Q35" s="53"/>
      <c r="R35" s="53"/>
      <c r="S35" s="53"/>
    </row>
    <row r="36" spans="1:19" x14ac:dyDescent="0.15">
      <c r="A36" s="71" t="s">
        <v>21</v>
      </c>
      <c r="B36" s="44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98">
        <f t="shared" si="0"/>
        <v>0</v>
      </c>
      <c r="P36" s="157"/>
      <c r="Q36" s="53"/>
      <c r="R36" s="53"/>
      <c r="S36" s="53"/>
    </row>
    <row r="37" spans="1:19" s="1" customFormat="1" x14ac:dyDescent="0.15">
      <c r="A37" s="55" t="s">
        <v>26</v>
      </c>
      <c r="B37" s="46">
        <f t="shared" ref="B37:N37" si="8">SUM(B33:B36)</f>
        <v>0</v>
      </c>
      <c r="C37" s="50">
        <f t="shared" si="8"/>
        <v>0</v>
      </c>
      <c r="D37" s="50">
        <f t="shared" si="8"/>
        <v>0</v>
      </c>
      <c r="E37" s="50">
        <f t="shared" si="8"/>
        <v>0</v>
      </c>
      <c r="F37" s="50">
        <f t="shared" si="8"/>
        <v>0</v>
      </c>
      <c r="G37" s="50">
        <f t="shared" si="8"/>
        <v>0</v>
      </c>
      <c r="H37" s="50">
        <f t="shared" si="8"/>
        <v>0</v>
      </c>
      <c r="I37" s="50">
        <f t="shared" si="8"/>
        <v>0</v>
      </c>
      <c r="J37" s="50">
        <f t="shared" si="8"/>
        <v>0</v>
      </c>
      <c r="K37" s="50">
        <f t="shared" si="8"/>
        <v>0</v>
      </c>
      <c r="L37" s="50">
        <f t="shared" si="8"/>
        <v>0</v>
      </c>
      <c r="M37" s="50">
        <f t="shared" si="8"/>
        <v>0</v>
      </c>
      <c r="N37" s="50">
        <f t="shared" si="8"/>
        <v>0</v>
      </c>
      <c r="O37" s="76">
        <f t="shared" si="0"/>
        <v>0</v>
      </c>
      <c r="P37" s="41"/>
      <c r="Q37" s="54"/>
      <c r="R37" s="54"/>
      <c r="S37" s="54"/>
    </row>
    <row r="38" spans="1:19" s="1" customFormat="1" x14ac:dyDescent="0.15">
      <c r="A38" s="55"/>
      <c r="B38" s="87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4"/>
      <c r="P38" s="41"/>
      <c r="Q38" s="54"/>
      <c r="R38" s="54"/>
      <c r="S38" s="54"/>
    </row>
    <row r="39" spans="1:19" x14ac:dyDescent="0.15">
      <c r="A39" s="55" t="s">
        <v>77</v>
      </c>
      <c r="B39" s="8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60"/>
      <c r="N39" s="60"/>
      <c r="O39" s="61"/>
      <c r="P39" s="41"/>
      <c r="Q39" s="53"/>
      <c r="R39" s="53"/>
      <c r="S39" s="53"/>
    </row>
    <row r="40" spans="1:19" x14ac:dyDescent="0.15">
      <c r="A40" s="71" t="s">
        <v>27</v>
      </c>
      <c r="B40" s="42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76">
        <f t="shared" si="0"/>
        <v>0</v>
      </c>
      <c r="P40" s="41"/>
      <c r="Q40" s="53"/>
      <c r="R40" s="53"/>
      <c r="S40" s="53"/>
    </row>
    <row r="41" spans="1:19" x14ac:dyDescent="0.15">
      <c r="A41" s="71" t="s">
        <v>28</v>
      </c>
      <c r="B41" s="42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76">
        <f t="shared" si="0"/>
        <v>0</v>
      </c>
      <c r="P41" s="41"/>
      <c r="Q41" s="53"/>
      <c r="R41" s="53"/>
      <c r="S41" s="53"/>
    </row>
    <row r="42" spans="1:19" x14ac:dyDescent="0.15">
      <c r="A42" s="71" t="s">
        <v>29</v>
      </c>
      <c r="B42" s="42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76">
        <f t="shared" si="0"/>
        <v>0</v>
      </c>
      <c r="P42" s="41"/>
      <c r="Q42" s="53"/>
      <c r="R42" s="53"/>
      <c r="S42" s="53"/>
    </row>
    <row r="43" spans="1:19" x14ac:dyDescent="0.15">
      <c r="A43" s="71" t="s">
        <v>30</v>
      </c>
      <c r="B43" s="42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76">
        <f t="shared" si="0"/>
        <v>0</v>
      </c>
      <c r="P43" s="41"/>
      <c r="Q43" s="53"/>
      <c r="R43" s="53"/>
      <c r="S43" s="53"/>
    </row>
    <row r="44" spans="1:19" x14ac:dyDescent="0.15">
      <c r="A44" s="71" t="s">
        <v>31</v>
      </c>
      <c r="B44" s="42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76">
        <f t="shared" si="0"/>
        <v>0</v>
      </c>
      <c r="P44" s="41"/>
      <c r="Q44" s="53"/>
      <c r="R44" s="53"/>
      <c r="S44" s="53"/>
    </row>
    <row r="45" spans="1:19" x14ac:dyDescent="0.15">
      <c r="A45" s="71" t="s">
        <v>32</v>
      </c>
      <c r="B45" s="42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76">
        <f t="shared" si="0"/>
        <v>0</v>
      </c>
      <c r="P45" s="41"/>
      <c r="Q45" s="53"/>
      <c r="R45" s="53"/>
      <c r="S45" s="53"/>
    </row>
    <row r="46" spans="1:19" x14ac:dyDescent="0.15">
      <c r="A46" s="71" t="s">
        <v>33</v>
      </c>
      <c r="B46" s="44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98">
        <f t="shared" si="0"/>
        <v>0</v>
      </c>
      <c r="P46" s="41"/>
      <c r="Q46" s="53"/>
      <c r="R46" s="53"/>
      <c r="S46" s="53"/>
    </row>
    <row r="47" spans="1:19" s="1" customFormat="1" x14ac:dyDescent="0.15">
      <c r="A47" s="55" t="s">
        <v>78</v>
      </c>
      <c r="B47" s="46">
        <f>SUM(B40:B46)</f>
        <v>0</v>
      </c>
      <c r="C47" s="50">
        <f t="shared" ref="C47:N47" si="9">SUM(C40:C46)</f>
        <v>0</v>
      </c>
      <c r="D47" s="50">
        <f t="shared" si="9"/>
        <v>0</v>
      </c>
      <c r="E47" s="50">
        <f t="shared" si="9"/>
        <v>0</v>
      </c>
      <c r="F47" s="50">
        <f t="shared" si="9"/>
        <v>0</v>
      </c>
      <c r="G47" s="50">
        <f t="shared" si="9"/>
        <v>0</v>
      </c>
      <c r="H47" s="50">
        <f t="shared" si="9"/>
        <v>0</v>
      </c>
      <c r="I47" s="50">
        <f t="shared" si="9"/>
        <v>0</v>
      </c>
      <c r="J47" s="50">
        <f t="shared" si="9"/>
        <v>0</v>
      </c>
      <c r="K47" s="50">
        <f t="shared" si="9"/>
        <v>0</v>
      </c>
      <c r="L47" s="50">
        <f t="shared" si="9"/>
        <v>0</v>
      </c>
      <c r="M47" s="50">
        <f t="shared" si="9"/>
        <v>0</v>
      </c>
      <c r="N47" s="50">
        <f t="shared" si="9"/>
        <v>0</v>
      </c>
      <c r="O47" s="76">
        <f t="shared" si="0"/>
        <v>0</v>
      </c>
      <c r="P47" s="41"/>
      <c r="Q47" s="54"/>
      <c r="R47" s="54"/>
      <c r="S47" s="54"/>
    </row>
    <row r="48" spans="1:19" s="1" customFormat="1" x14ac:dyDescent="0.15">
      <c r="A48" s="55"/>
      <c r="B48" s="87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4"/>
      <c r="P48" s="41"/>
      <c r="Q48" s="54"/>
      <c r="R48" s="54"/>
      <c r="S48" s="54"/>
    </row>
    <row r="49" spans="1:19" x14ac:dyDescent="0.15">
      <c r="A49" s="55" t="s">
        <v>34</v>
      </c>
      <c r="B49" s="8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1"/>
      <c r="P49" s="41"/>
      <c r="Q49" s="53"/>
      <c r="R49" s="53"/>
      <c r="S49" s="53"/>
    </row>
    <row r="50" spans="1:19" x14ac:dyDescent="0.15">
      <c r="A50" s="71" t="s">
        <v>35</v>
      </c>
      <c r="B50" s="42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76">
        <f t="shared" si="0"/>
        <v>0</v>
      </c>
      <c r="P50" s="41"/>
      <c r="Q50" s="53"/>
      <c r="R50" s="53"/>
      <c r="S50" s="53"/>
    </row>
    <row r="51" spans="1:19" x14ac:dyDescent="0.15">
      <c r="A51" s="71" t="s">
        <v>36</v>
      </c>
      <c r="B51" s="42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76">
        <f t="shared" si="0"/>
        <v>0</v>
      </c>
      <c r="P51" s="41"/>
      <c r="Q51" s="53"/>
      <c r="R51" s="53"/>
      <c r="S51" s="53"/>
    </row>
    <row r="52" spans="1:19" x14ac:dyDescent="0.15">
      <c r="A52" s="71" t="s">
        <v>33</v>
      </c>
      <c r="B52" s="44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98">
        <f t="shared" si="0"/>
        <v>0</v>
      </c>
      <c r="P52" s="41"/>
      <c r="Q52" s="53"/>
      <c r="R52" s="53"/>
      <c r="S52" s="53"/>
    </row>
    <row r="53" spans="1:19" s="1" customFormat="1" x14ac:dyDescent="0.15">
      <c r="A53" s="55" t="s">
        <v>37</v>
      </c>
      <c r="B53" s="46">
        <f>SUM(B50:B52)</f>
        <v>0</v>
      </c>
      <c r="C53" s="50">
        <f t="shared" ref="C53:N53" si="10">SUM(C50:C52)</f>
        <v>0</v>
      </c>
      <c r="D53" s="50">
        <f t="shared" si="10"/>
        <v>0</v>
      </c>
      <c r="E53" s="50">
        <f t="shared" si="10"/>
        <v>0</v>
      </c>
      <c r="F53" s="50">
        <f t="shared" si="10"/>
        <v>0</v>
      </c>
      <c r="G53" s="50">
        <f t="shared" si="10"/>
        <v>0</v>
      </c>
      <c r="H53" s="50">
        <f t="shared" si="10"/>
        <v>0</v>
      </c>
      <c r="I53" s="50">
        <f t="shared" si="10"/>
        <v>0</v>
      </c>
      <c r="J53" s="50">
        <f t="shared" si="10"/>
        <v>0</v>
      </c>
      <c r="K53" s="50">
        <f t="shared" si="10"/>
        <v>0</v>
      </c>
      <c r="L53" s="50">
        <f t="shared" si="10"/>
        <v>0</v>
      </c>
      <c r="M53" s="50">
        <f t="shared" si="10"/>
        <v>0</v>
      </c>
      <c r="N53" s="50">
        <f t="shared" si="10"/>
        <v>0</v>
      </c>
      <c r="O53" s="76">
        <f t="shared" si="0"/>
        <v>0</v>
      </c>
      <c r="P53" s="41"/>
      <c r="Q53" s="54"/>
      <c r="R53" s="54"/>
      <c r="S53" s="54"/>
    </row>
    <row r="54" spans="1:19" s="1" customFormat="1" x14ac:dyDescent="0.15">
      <c r="A54" s="55"/>
      <c r="B54" s="87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4"/>
      <c r="P54" s="41"/>
      <c r="Q54" s="54"/>
      <c r="R54" s="54"/>
      <c r="S54" s="54"/>
    </row>
    <row r="55" spans="1:19" x14ac:dyDescent="0.15">
      <c r="A55" s="55" t="s">
        <v>38</v>
      </c>
      <c r="B55" s="80"/>
      <c r="C55" s="60"/>
      <c r="D55" s="60"/>
      <c r="E55" s="60"/>
      <c r="F55" s="60"/>
      <c r="G55" s="60"/>
      <c r="H55" s="60"/>
      <c r="I55" s="60"/>
      <c r="J55" s="60"/>
      <c r="K55" s="60"/>
      <c r="L55" s="60"/>
      <c r="M55" s="60"/>
      <c r="N55" s="60"/>
      <c r="O55" s="61"/>
      <c r="P55" s="41"/>
      <c r="Q55" s="53"/>
      <c r="R55" s="53"/>
      <c r="S55" s="53"/>
    </row>
    <row r="56" spans="1:19" x14ac:dyDescent="0.15">
      <c r="A56" s="71" t="s">
        <v>39</v>
      </c>
      <c r="B56" s="42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76">
        <f t="shared" si="0"/>
        <v>0</v>
      </c>
      <c r="P56" s="41"/>
      <c r="Q56" s="53"/>
      <c r="R56" s="53"/>
      <c r="S56" s="53"/>
    </row>
    <row r="57" spans="1:19" x14ac:dyDescent="0.15">
      <c r="A57" s="71" t="s">
        <v>40</v>
      </c>
      <c r="B57" s="42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76">
        <f t="shared" si="0"/>
        <v>0</v>
      </c>
      <c r="P57" s="41"/>
      <c r="Q57" s="53"/>
      <c r="R57" s="53"/>
      <c r="S57" s="53"/>
    </row>
    <row r="58" spans="1:19" x14ac:dyDescent="0.15">
      <c r="A58" s="71" t="s">
        <v>41</v>
      </c>
      <c r="B58" s="42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76">
        <f t="shared" si="0"/>
        <v>0</v>
      </c>
      <c r="P58" s="41"/>
      <c r="Q58" s="53"/>
      <c r="R58" s="53"/>
      <c r="S58" s="53"/>
    </row>
    <row r="59" spans="1:19" x14ac:dyDescent="0.15">
      <c r="A59" s="71" t="s">
        <v>36</v>
      </c>
      <c r="B59" s="42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76">
        <f t="shared" si="0"/>
        <v>0</v>
      </c>
      <c r="P59" s="41"/>
      <c r="Q59" s="53"/>
      <c r="R59" s="53"/>
      <c r="S59" s="53"/>
    </row>
    <row r="60" spans="1:19" x14ac:dyDescent="0.15">
      <c r="A60" s="71" t="s">
        <v>42</v>
      </c>
      <c r="B60" s="42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76">
        <f t="shared" si="0"/>
        <v>0</v>
      </c>
      <c r="P60" s="41"/>
      <c r="Q60" s="53"/>
      <c r="R60" s="53"/>
      <c r="S60" s="53"/>
    </row>
    <row r="61" spans="1:19" x14ac:dyDescent="0.15">
      <c r="A61" s="71" t="s">
        <v>33</v>
      </c>
      <c r="B61" s="44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98">
        <f t="shared" si="0"/>
        <v>0</v>
      </c>
      <c r="P61" s="41"/>
      <c r="Q61" s="53"/>
      <c r="R61" s="53"/>
      <c r="S61" s="53"/>
    </row>
    <row r="62" spans="1:19" x14ac:dyDescent="0.15">
      <c r="A62" s="55" t="s">
        <v>43</v>
      </c>
      <c r="B62" s="46">
        <f>SUM(B56:B61)</f>
        <v>0</v>
      </c>
      <c r="C62" s="50">
        <f t="shared" ref="C62:N62" si="11">SUM(C56:C61)</f>
        <v>0</v>
      </c>
      <c r="D62" s="50">
        <f t="shared" si="11"/>
        <v>0</v>
      </c>
      <c r="E62" s="50">
        <f t="shared" si="11"/>
        <v>0</v>
      </c>
      <c r="F62" s="50">
        <f t="shared" si="11"/>
        <v>0</v>
      </c>
      <c r="G62" s="50">
        <f t="shared" si="11"/>
        <v>0</v>
      </c>
      <c r="H62" s="50">
        <f t="shared" si="11"/>
        <v>0</v>
      </c>
      <c r="I62" s="50">
        <f t="shared" si="11"/>
        <v>0</v>
      </c>
      <c r="J62" s="50">
        <f t="shared" si="11"/>
        <v>0</v>
      </c>
      <c r="K62" s="50">
        <f t="shared" si="11"/>
        <v>0</v>
      </c>
      <c r="L62" s="50">
        <f t="shared" si="11"/>
        <v>0</v>
      </c>
      <c r="M62" s="50">
        <f t="shared" si="11"/>
        <v>0</v>
      </c>
      <c r="N62" s="50">
        <f t="shared" si="11"/>
        <v>0</v>
      </c>
      <c r="O62" s="76">
        <f t="shared" si="0"/>
        <v>0</v>
      </c>
      <c r="P62" s="41"/>
      <c r="Q62" s="53"/>
      <c r="R62" s="53"/>
      <c r="S62" s="53"/>
    </row>
    <row r="63" spans="1:19" x14ac:dyDescent="0.15">
      <c r="A63" s="55"/>
      <c r="B63" s="94"/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3"/>
      <c r="O63" s="64"/>
      <c r="P63" s="41"/>
      <c r="Q63" s="53"/>
      <c r="R63" s="53"/>
      <c r="S63" s="53"/>
    </row>
    <row r="64" spans="1:19" s="1" customFormat="1" x14ac:dyDescent="0.15">
      <c r="A64" s="55" t="s">
        <v>79</v>
      </c>
      <c r="B64" s="80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1"/>
      <c r="P64" s="41"/>
      <c r="Q64" s="54"/>
      <c r="R64" s="54"/>
      <c r="S64" s="54"/>
    </row>
    <row r="65" spans="1:19" x14ac:dyDescent="0.15">
      <c r="A65" s="71" t="s">
        <v>44</v>
      </c>
      <c r="B65" s="42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76">
        <f t="shared" si="0"/>
        <v>0</v>
      </c>
      <c r="P65" s="41"/>
      <c r="Q65" s="53"/>
      <c r="R65" s="53"/>
      <c r="S65" s="53"/>
    </row>
    <row r="66" spans="1:19" x14ac:dyDescent="0.15">
      <c r="A66" s="71" t="s">
        <v>45</v>
      </c>
      <c r="B66" s="42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76">
        <f t="shared" si="0"/>
        <v>0</v>
      </c>
      <c r="P66" s="41"/>
      <c r="Q66" s="53"/>
      <c r="R66" s="53"/>
      <c r="S66" s="53"/>
    </row>
    <row r="67" spans="1:19" x14ac:dyDescent="0.15">
      <c r="A67" s="71" t="s">
        <v>46</v>
      </c>
      <c r="B67" s="42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76">
        <f t="shared" si="0"/>
        <v>0</v>
      </c>
      <c r="P67" s="41"/>
      <c r="Q67" s="53"/>
      <c r="R67" s="53"/>
      <c r="S67" s="53"/>
    </row>
    <row r="68" spans="1:19" x14ac:dyDescent="0.15">
      <c r="A68" s="71" t="s">
        <v>47</v>
      </c>
      <c r="B68" s="42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76">
        <f t="shared" si="0"/>
        <v>0</v>
      </c>
      <c r="P68" s="41"/>
      <c r="Q68" s="53"/>
      <c r="R68" s="53"/>
      <c r="S68" s="53"/>
    </row>
    <row r="69" spans="1:19" x14ac:dyDescent="0.15">
      <c r="A69" s="71" t="s">
        <v>48</v>
      </c>
      <c r="B69" s="42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76">
        <f t="shared" si="0"/>
        <v>0</v>
      </c>
      <c r="P69" s="41"/>
      <c r="Q69" s="53"/>
      <c r="R69" s="53"/>
      <c r="S69" s="53"/>
    </row>
    <row r="70" spans="1:19" x14ac:dyDescent="0.15">
      <c r="A70" s="71" t="s">
        <v>33</v>
      </c>
      <c r="B70" s="44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98">
        <f t="shared" ref="O70:O98" si="12">SUM(C70:N70)</f>
        <v>0</v>
      </c>
      <c r="P70" s="41"/>
      <c r="Q70" s="53"/>
      <c r="R70" s="53"/>
      <c r="S70" s="53"/>
    </row>
    <row r="71" spans="1:19" x14ac:dyDescent="0.15">
      <c r="A71" s="55" t="s">
        <v>80</v>
      </c>
      <c r="B71" s="46">
        <f>SUM(B65:B70)</f>
        <v>0</v>
      </c>
      <c r="C71" s="50">
        <f t="shared" ref="C71:N71" si="13">SUM(C65:C70)</f>
        <v>0</v>
      </c>
      <c r="D71" s="50">
        <f t="shared" si="13"/>
        <v>0</v>
      </c>
      <c r="E71" s="50">
        <f t="shared" si="13"/>
        <v>0</v>
      </c>
      <c r="F71" s="50">
        <f t="shared" si="13"/>
        <v>0</v>
      </c>
      <c r="G71" s="50">
        <f t="shared" si="13"/>
        <v>0</v>
      </c>
      <c r="H71" s="50">
        <f t="shared" si="13"/>
        <v>0</v>
      </c>
      <c r="I71" s="50">
        <f t="shared" si="13"/>
        <v>0</v>
      </c>
      <c r="J71" s="50">
        <f t="shared" si="13"/>
        <v>0</v>
      </c>
      <c r="K71" s="50">
        <f t="shared" si="13"/>
        <v>0</v>
      </c>
      <c r="L71" s="50">
        <f t="shared" si="13"/>
        <v>0</v>
      </c>
      <c r="M71" s="50">
        <f t="shared" si="13"/>
        <v>0</v>
      </c>
      <c r="N71" s="50">
        <f t="shared" si="13"/>
        <v>0</v>
      </c>
      <c r="O71" s="76">
        <f t="shared" si="12"/>
        <v>0</v>
      </c>
      <c r="P71" s="41"/>
      <c r="Q71" s="53"/>
      <c r="R71" s="53"/>
      <c r="S71" s="53"/>
    </row>
    <row r="72" spans="1:19" x14ac:dyDescent="0.15">
      <c r="A72" s="55"/>
      <c r="B72" s="87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4"/>
      <c r="P72" s="41"/>
      <c r="Q72" s="53"/>
      <c r="R72" s="53"/>
      <c r="S72" s="53"/>
    </row>
    <row r="73" spans="1:19" s="1" customFormat="1" x14ac:dyDescent="0.15">
      <c r="A73" s="55" t="s">
        <v>81</v>
      </c>
      <c r="B73" s="80"/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1"/>
      <c r="P73" s="41"/>
      <c r="Q73" s="54"/>
      <c r="R73" s="54"/>
      <c r="S73" s="54"/>
    </row>
    <row r="74" spans="1:19" x14ac:dyDescent="0.15">
      <c r="A74" s="71" t="s">
        <v>49</v>
      </c>
      <c r="B74" s="42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76">
        <f t="shared" si="12"/>
        <v>0</v>
      </c>
      <c r="P74" s="41"/>
      <c r="Q74" s="53"/>
      <c r="R74" s="53"/>
      <c r="S74" s="53"/>
    </row>
    <row r="75" spans="1:19" x14ac:dyDescent="0.15">
      <c r="A75" s="71" t="s">
        <v>50</v>
      </c>
      <c r="B75" s="42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76">
        <f t="shared" si="12"/>
        <v>0</v>
      </c>
      <c r="P75" s="41"/>
      <c r="Q75" s="53"/>
      <c r="R75" s="53"/>
      <c r="S75" s="53"/>
    </row>
    <row r="76" spans="1:19" x14ac:dyDescent="0.15">
      <c r="A76" s="71" t="s">
        <v>51</v>
      </c>
      <c r="B76" s="42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76">
        <f t="shared" si="12"/>
        <v>0</v>
      </c>
      <c r="P76" s="41"/>
      <c r="Q76" s="53"/>
      <c r="R76" s="53"/>
      <c r="S76" s="53"/>
    </row>
    <row r="77" spans="1:19" x14ac:dyDescent="0.15">
      <c r="A77" s="71" t="s">
        <v>52</v>
      </c>
      <c r="B77" s="42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76">
        <f t="shared" si="12"/>
        <v>0</v>
      </c>
      <c r="P77" s="41"/>
      <c r="Q77" s="53"/>
      <c r="R77" s="53"/>
      <c r="S77" s="53"/>
    </row>
    <row r="78" spans="1:19" x14ac:dyDescent="0.15">
      <c r="A78" s="71" t="s">
        <v>53</v>
      </c>
      <c r="B78" s="42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76">
        <f t="shared" si="12"/>
        <v>0</v>
      </c>
      <c r="P78" s="41"/>
      <c r="Q78" s="53"/>
      <c r="R78" s="53"/>
      <c r="S78" s="53"/>
    </row>
    <row r="79" spans="1:19" x14ac:dyDescent="0.15">
      <c r="A79" s="71" t="s">
        <v>54</v>
      </c>
      <c r="B79" s="42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76">
        <f t="shared" si="12"/>
        <v>0</v>
      </c>
      <c r="P79" s="41"/>
      <c r="Q79" s="53"/>
      <c r="R79" s="53"/>
      <c r="S79" s="53"/>
    </row>
    <row r="80" spans="1:19" x14ac:dyDescent="0.15">
      <c r="A80" s="71" t="s">
        <v>55</v>
      </c>
      <c r="B80" s="44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98">
        <f t="shared" si="12"/>
        <v>0</v>
      </c>
      <c r="P80" s="41"/>
      <c r="Q80" s="53"/>
      <c r="R80" s="53"/>
      <c r="S80" s="53"/>
    </row>
    <row r="81" spans="1:19" x14ac:dyDescent="0.15">
      <c r="A81" s="55" t="s">
        <v>82</v>
      </c>
      <c r="B81" s="46">
        <f>SUM(B74:B80)</f>
        <v>0</v>
      </c>
      <c r="C81" s="50">
        <f t="shared" ref="C81:N81" si="14">SUM(C74:C80)</f>
        <v>0</v>
      </c>
      <c r="D81" s="50">
        <f t="shared" si="14"/>
        <v>0</v>
      </c>
      <c r="E81" s="50">
        <f t="shared" si="14"/>
        <v>0</v>
      </c>
      <c r="F81" s="50">
        <f t="shared" si="14"/>
        <v>0</v>
      </c>
      <c r="G81" s="50">
        <f t="shared" si="14"/>
        <v>0</v>
      </c>
      <c r="H81" s="50">
        <f t="shared" si="14"/>
        <v>0</v>
      </c>
      <c r="I81" s="50">
        <f t="shared" si="14"/>
        <v>0</v>
      </c>
      <c r="J81" s="50">
        <f t="shared" si="14"/>
        <v>0</v>
      </c>
      <c r="K81" s="50">
        <f t="shared" si="14"/>
        <v>0</v>
      </c>
      <c r="L81" s="50">
        <f t="shared" si="14"/>
        <v>0</v>
      </c>
      <c r="M81" s="50">
        <f t="shared" si="14"/>
        <v>0</v>
      </c>
      <c r="N81" s="50">
        <f t="shared" si="14"/>
        <v>0</v>
      </c>
      <c r="O81" s="76">
        <f t="shared" si="12"/>
        <v>0</v>
      </c>
      <c r="P81" s="41"/>
      <c r="Q81" s="53"/>
      <c r="R81" s="53"/>
      <c r="S81" s="53"/>
    </row>
    <row r="82" spans="1:19" x14ac:dyDescent="0.15">
      <c r="A82" s="55"/>
      <c r="B82" s="87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4"/>
      <c r="P82" s="41"/>
      <c r="Q82" s="53"/>
      <c r="R82" s="53"/>
      <c r="S82" s="53"/>
    </row>
    <row r="83" spans="1:19" s="1" customFormat="1" x14ac:dyDescent="0.15">
      <c r="A83" s="55" t="s">
        <v>83</v>
      </c>
      <c r="B83" s="80"/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88"/>
      <c r="P83" s="157"/>
      <c r="Q83" s="54"/>
      <c r="R83" s="54"/>
      <c r="S83" s="54"/>
    </row>
    <row r="84" spans="1:19" x14ac:dyDescent="0.15">
      <c r="A84" s="73" t="s">
        <v>56</v>
      </c>
      <c r="B84" s="42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43">
        <f t="shared" si="12"/>
        <v>0</v>
      </c>
      <c r="P84" s="74"/>
      <c r="Q84" s="53"/>
      <c r="R84" s="53"/>
      <c r="S84" s="53"/>
    </row>
    <row r="85" spans="1:19" x14ac:dyDescent="0.15">
      <c r="A85" s="73" t="s">
        <v>25</v>
      </c>
      <c r="B85" s="42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43">
        <f t="shared" si="12"/>
        <v>0</v>
      </c>
      <c r="P85" s="74"/>
      <c r="Q85" s="53"/>
      <c r="R85" s="53"/>
      <c r="S85" s="53"/>
    </row>
    <row r="86" spans="1:19" x14ac:dyDescent="0.15">
      <c r="A86" s="73" t="s">
        <v>57</v>
      </c>
      <c r="B86" s="42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43">
        <f t="shared" si="12"/>
        <v>0</v>
      </c>
      <c r="P86" s="74"/>
      <c r="Q86" s="53"/>
      <c r="R86" s="53"/>
      <c r="S86" s="53"/>
    </row>
    <row r="87" spans="1:19" x14ac:dyDescent="0.15">
      <c r="A87" s="73" t="s">
        <v>58</v>
      </c>
      <c r="B87" s="42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43">
        <f t="shared" si="12"/>
        <v>0</v>
      </c>
      <c r="P87" s="74"/>
      <c r="Q87" s="53"/>
      <c r="R87" s="53"/>
      <c r="S87" s="53"/>
    </row>
    <row r="88" spans="1:19" x14ac:dyDescent="0.15">
      <c r="A88" s="73" t="s">
        <v>59</v>
      </c>
      <c r="B88" s="42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43">
        <f t="shared" si="12"/>
        <v>0</v>
      </c>
      <c r="P88" s="74"/>
      <c r="Q88" s="53"/>
      <c r="R88" s="53"/>
      <c r="S88" s="53"/>
    </row>
    <row r="89" spans="1:19" x14ac:dyDescent="0.15">
      <c r="A89" s="73" t="s">
        <v>33</v>
      </c>
      <c r="B89" s="42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3">
        <f t="shared" si="12"/>
        <v>0</v>
      </c>
      <c r="P89" s="74"/>
      <c r="Q89" s="53"/>
      <c r="R89" s="53"/>
      <c r="S89" s="53"/>
    </row>
    <row r="90" spans="1:19" x14ac:dyDescent="0.15">
      <c r="A90" s="77" t="s">
        <v>84</v>
      </c>
      <c r="B90" s="79">
        <f>SUM(B84:B89)</f>
        <v>0</v>
      </c>
      <c r="C90" s="50">
        <f t="shared" ref="C90:N90" si="15">SUM(C84:C89)</f>
        <v>0</v>
      </c>
      <c r="D90" s="50">
        <f t="shared" si="15"/>
        <v>0</v>
      </c>
      <c r="E90" s="50">
        <f t="shared" si="15"/>
        <v>0</v>
      </c>
      <c r="F90" s="50">
        <f t="shared" si="15"/>
        <v>0</v>
      </c>
      <c r="G90" s="50">
        <f t="shared" si="15"/>
        <v>0</v>
      </c>
      <c r="H90" s="50">
        <f t="shared" si="15"/>
        <v>0</v>
      </c>
      <c r="I90" s="50">
        <f t="shared" si="15"/>
        <v>0</v>
      </c>
      <c r="J90" s="50">
        <f t="shared" si="15"/>
        <v>0</v>
      </c>
      <c r="K90" s="50">
        <f t="shared" si="15"/>
        <v>0</v>
      </c>
      <c r="L90" s="50">
        <f t="shared" si="15"/>
        <v>0</v>
      </c>
      <c r="M90" s="50">
        <f t="shared" si="15"/>
        <v>0</v>
      </c>
      <c r="N90" s="50">
        <f t="shared" si="15"/>
        <v>0</v>
      </c>
      <c r="O90" s="96">
        <f t="shared" si="12"/>
        <v>0</v>
      </c>
      <c r="P90" s="74"/>
      <c r="Q90" s="53"/>
      <c r="R90" s="53"/>
      <c r="S90" s="53"/>
    </row>
    <row r="91" spans="1:19" x14ac:dyDescent="0.15">
      <c r="A91" s="73"/>
      <c r="B91" s="81"/>
      <c r="C91" s="69"/>
      <c r="D91" s="69"/>
      <c r="E91" s="69"/>
      <c r="F91" s="69"/>
      <c r="G91" s="69"/>
      <c r="H91" s="69"/>
      <c r="I91" s="69"/>
      <c r="J91" s="69"/>
      <c r="K91" s="69"/>
      <c r="L91" s="69"/>
      <c r="M91" s="69"/>
      <c r="N91" s="69"/>
      <c r="O91" s="107"/>
      <c r="P91" s="74"/>
      <c r="Q91" s="53"/>
      <c r="R91" s="53"/>
      <c r="S91" s="53"/>
    </row>
    <row r="92" spans="1:19" x14ac:dyDescent="0.15">
      <c r="A92" s="77" t="s">
        <v>85</v>
      </c>
      <c r="B92" s="79">
        <f>+B30+B37+B47+B62+B71+B81+B90</f>
        <v>620000</v>
      </c>
      <c r="C92" s="50">
        <f t="shared" ref="C92:N92" si="16">+C30+C37+C47+C62+C71+C81+C90</f>
        <v>21970</v>
      </c>
      <c r="D92" s="50">
        <f t="shared" si="16"/>
        <v>54370</v>
      </c>
      <c r="E92" s="50">
        <f t="shared" si="16"/>
        <v>64370</v>
      </c>
      <c r="F92" s="50">
        <f t="shared" si="16"/>
        <v>64370</v>
      </c>
      <c r="G92" s="50">
        <f t="shared" si="16"/>
        <v>64370</v>
      </c>
      <c r="H92" s="50">
        <f t="shared" si="16"/>
        <v>99786.666666666657</v>
      </c>
      <c r="I92" s="50">
        <f t="shared" si="16"/>
        <v>99786.666666666657</v>
      </c>
      <c r="J92" s="50">
        <f t="shared" si="16"/>
        <v>99786.666666666657</v>
      </c>
      <c r="K92" s="50">
        <f t="shared" si="16"/>
        <v>99786.666666666657</v>
      </c>
      <c r="L92" s="50">
        <f t="shared" si="16"/>
        <v>99786.666666666657</v>
      </c>
      <c r="M92" s="50">
        <f t="shared" si="16"/>
        <v>99786.666666666657</v>
      </c>
      <c r="N92" s="50">
        <f t="shared" si="16"/>
        <v>64370</v>
      </c>
      <c r="O92" s="43">
        <f>SUM(C92:N92)</f>
        <v>932539.99999999977</v>
      </c>
      <c r="P92" s="74"/>
      <c r="Q92" s="53"/>
      <c r="R92" s="53"/>
      <c r="S92" s="53"/>
    </row>
    <row r="93" spans="1:19" x14ac:dyDescent="0.15">
      <c r="A93" s="77"/>
      <c r="B93" s="56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107"/>
      <c r="P93" s="74"/>
      <c r="Q93" s="53"/>
      <c r="R93" s="53"/>
      <c r="S93" s="53"/>
    </row>
    <row r="94" spans="1:19" ht="12.75" customHeight="1" x14ac:dyDescent="0.15">
      <c r="A94" s="77" t="s">
        <v>86</v>
      </c>
      <c r="B94" s="79">
        <f>+B53</f>
        <v>0</v>
      </c>
      <c r="C94" s="50">
        <f>+C53</f>
        <v>0</v>
      </c>
      <c r="D94" s="50">
        <f t="shared" ref="D94:N94" si="17">+D53</f>
        <v>0</v>
      </c>
      <c r="E94" s="50">
        <f t="shared" si="17"/>
        <v>0</v>
      </c>
      <c r="F94" s="50">
        <f t="shared" si="17"/>
        <v>0</v>
      </c>
      <c r="G94" s="50">
        <f t="shared" si="17"/>
        <v>0</v>
      </c>
      <c r="H94" s="50">
        <f t="shared" si="17"/>
        <v>0</v>
      </c>
      <c r="I94" s="50">
        <f t="shared" si="17"/>
        <v>0</v>
      </c>
      <c r="J94" s="50">
        <f t="shared" si="17"/>
        <v>0</v>
      </c>
      <c r="K94" s="50">
        <f t="shared" si="17"/>
        <v>0</v>
      </c>
      <c r="L94" s="50">
        <f t="shared" si="17"/>
        <v>0</v>
      </c>
      <c r="M94" s="50">
        <f t="shared" si="17"/>
        <v>0</v>
      </c>
      <c r="N94" s="50">
        <f t="shared" si="17"/>
        <v>0</v>
      </c>
      <c r="O94" s="43">
        <f t="shared" si="12"/>
        <v>0</v>
      </c>
      <c r="P94" s="74"/>
      <c r="Q94" s="53"/>
      <c r="R94" s="53"/>
      <c r="S94" s="53"/>
    </row>
    <row r="95" spans="1:19" ht="12.75" customHeight="1" x14ac:dyDescent="0.15">
      <c r="A95" s="77"/>
      <c r="B95" s="56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107"/>
      <c r="P95" s="74"/>
      <c r="Q95" s="53"/>
      <c r="R95" s="53"/>
      <c r="S95" s="53"/>
    </row>
    <row r="96" spans="1:19" x14ac:dyDescent="0.15">
      <c r="A96" s="78" t="s">
        <v>87</v>
      </c>
      <c r="B96" s="83">
        <f>+B92+B94</f>
        <v>620000</v>
      </c>
      <c r="C96" s="52">
        <f>+C92+C94</f>
        <v>21970</v>
      </c>
      <c r="D96" s="52">
        <f t="shared" ref="D96:N96" si="18">+D92+D94</f>
        <v>54370</v>
      </c>
      <c r="E96" s="52">
        <f t="shared" si="18"/>
        <v>64370</v>
      </c>
      <c r="F96" s="52">
        <f t="shared" si="18"/>
        <v>64370</v>
      </c>
      <c r="G96" s="52">
        <f t="shared" si="18"/>
        <v>64370</v>
      </c>
      <c r="H96" s="52">
        <f t="shared" si="18"/>
        <v>99786.666666666657</v>
      </c>
      <c r="I96" s="52">
        <f t="shared" si="18"/>
        <v>99786.666666666657</v>
      </c>
      <c r="J96" s="52">
        <f t="shared" si="18"/>
        <v>99786.666666666657</v>
      </c>
      <c r="K96" s="52">
        <f t="shared" si="18"/>
        <v>99786.666666666657</v>
      </c>
      <c r="L96" s="52">
        <f t="shared" si="18"/>
        <v>99786.666666666657</v>
      </c>
      <c r="M96" s="52">
        <f t="shared" si="18"/>
        <v>99786.666666666657</v>
      </c>
      <c r="N96" s="52">
        <f t="shared" si="18"/>
        <v>64370</v>
      </c>
      <c r="O96" s="6">
        <f t="shared" si="12"/>
        <v>932539.99999999977</v>
      </c>
      <c r="P96" s="74"/>
      <c r="Q96" s="53"/>
      <c r="R96" s="53"/>
      <c r="S96" s="53"/>
    </row>
    <row r="97" spans="1:19" x14ac:dyDescent="0.15">
      <c r="A97" s="73"/>
      <c r="B97" s="82"/>
      <c r="C97" s="63"/>
      <c r="D97" s="63"/>
      <c r="E97" s="63"/>
      <c r="F97" s="63"/>
      <c r="G97" s="63"/>
      <c r="H97" s="63"/>
      <c r="I97" s="63"/>
      <c r="J97" s="63"/>
      <c r="K97" s="63"/>
      <c r="L97" s="63"/>
      <c r="M97" s="63"/>
      <c r="N97" s="69"/>
      <c r="O97" s="107"/>
      <c r="P97" s="74"/>
      <c r="Q97" s="53"/>
      <c r="R97" s="53"/>
      <c r="S97" s="53"/>
    </row>
    <row r="98" spans="1:19" ht="14" thickBot="1" x14ac:dyDescent="0.2">
      <c r="A98" s="75" t="s">
        <v>88</v>
      </c>
      <c r="B98" s="5">
        <f t="shared" ref="B98:N98" si="19">B96-B7</f>
        <v>420000</v>
      </c>
      <c r="C98" s="95">
        <f t="shared" si="19"/>
        <v>21970</v>
      </c>
      <c r="D98" s="95">
        <f t="shared" si="19"/>
        <v>54370</v>
      </c>
      <c r="E98" s="95">
        <f t="shared" si="19"/>
        <v>64370</v>
      </c>
      <c r="F98" s="95">
        <f t="shared" si="19"/>
        <v>64370</v>
      </c>
      <c r="G98" s="95">
        <f t="shared" si="19"/>
        <v>64370</v>
      </c>
      <c r="H98" s="95">
        <f t="shared" si="19"/>
        <v>99786.666666666657</v>
      </c>
      <c r="I98" s="95">
        <f t="shared" si="19"/>
        <v>99786.666666666657</v>
      </c>
      <c r="J98" s="95">
        <f t="shared" si="19"/>
        <v>99786.666666666657</v>
      </c>
      <c r="K98" s="95">
        <f t="shared" si="19"/>
        <v>99786.666666666657</v>
      </c>
      <c r="L98" s="95">
        <f t="shared" si="19"/>
        <v>99786.666666666657</v>
      </c>
      <c r="M98" s="95">
        <f t="shared" si="19"/>
        <v>99786.666666666657</v>
      </c>
      <c r="N98" s="108">
        <f t="shared" si="19"/>
        <v>64370</v>
      </c>
      <c r="O98" s="106">
        <f t="shared" si="12"/>
        <v>932539.99999999977</v>
      </c>
      <c r="P98" s="105"/>
      <c r="Q98" s="53"/>
      <c r="R98" s="53"/>
      <c r="S98" s="53"/>
    </row>
    <row r="99" spans="1:19" x14ac:dyDescent="0.15">
      <c r="A99" s="53"/>
      <c r="B99" s="54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4"/>
      <c r="P99" s="53"/>
      <c r="Q99" s="53"/>
      <c r="R99" s="53"/>
      <c r="S99" s="53"/>
    </row>
    <row r="100" spans="1:19" x14ac:dyDescent="0.15">
      <c r="A100" s="53"/>
      <c r="B100" s="54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4"/>
      <c r="P100" s="53"/>
      <c r="Q100" s="53"/>
      <c r="R100" s="53"/>
      <c r="S100" s="53"/>
    </row>
    <row r="101" spans="1:19" x14ac:dyDescent="0.15">
      <c r="A101" s="53"/>
      <c r="B101" s="54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4"/>
      <c r="P101" s="53"/>
      <c r="Q101" s="53"/>
      <c r="R101" s="53"/>
      <c r="S101" s="53"/>
    </row>
    <row r="102" spans="1:19" x14ac:dyDescent="0.15">
      <c r="A102" s="53"/>
      <c r="B102" s="54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4"/>
      <c r="P102" s="53"/>
      <c r="Q102" s="53"/>
      <c r="R102" s="53"/>
      <c r="S102" s="53"/>
    </row>
    <row r="103" spans="1:19" x14ac:dyDescent="0.15">
      <c r="A103" s="10"/>
      <c r="B103" s="3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3"/>
      <c r="P103" s="10"/>
    </row>
    <row r="104" spans="1:19" x14ac:dyDescent="0.15">
      <c r="A104" s="10"/>
      <c r="B104" s="3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3"/>
      <c r="P104" s="10"/>
    </row>
    <row r="105" spans="1:19" x14ac:dyDescent="0.15">
      <c r="A105" s="10"/>
      <c r="B105" s="3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3"/>
      <c r="P105" s="10"/>
    </row>
    <row r="106" spans="1:19" x14ac:dyDescent="0.15">
      <c r="A106" s="10"/>
      <c r="B106" s="3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3"/>
      <c r="P106" s="10"/>
    </row>
    <row r="107" spans="1:19" x14ac:dyDescent="0.15">
      <c r="A107" s="10"/>
      <c r="B107" s="3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3"/>
      <c r="P107" s="10"/>
    </row>
    <row r="108" spans="1:19" x14ac:dyDescent="0.15">
      <c r="A108" s="10"/>
      <c r="B108" s="3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3"/>
      <c r="P108" s="10"/>
    </row>
    <row r="109" spans="1:19" x14ac:dyDescent="0.15">
      <c r="A109" s="10"/>
      <c r="B109" s="3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3"/>
      <c r="P109" s="10"/>
    </row>
    <row r="110" spans="1:19" x14ac:dyDescent="0.15">
      <c r="A110" s="10"/>
      <c r="B110" s="3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3"/>
      <c r="P110" s="10"/>
    </row>
    <row r="111" spans="1:19" x14ac:dyDescent="0.15">
      <c r="A111" s="10"/>
      <c r="B111" s="3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3"/>
      <c r="P111" s="10"/>
    </row>
    <row r="112" spans="1:19" x14ac:dyDescent="0.15">
      <c r="A112" s="10"/>
      <c r="B112" s="3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3"/>
      <c r="P112" s="10"/>
    </row>
    <row r="113" spans="1:16" x14ac:dyDescent="0.15">
      <c r="A113" s="10"/>
      <c r="B113" s="3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3"/>
      <c r="P113" s="10"/>
    </row>
    <row r="114" spans="1:16" x14ac:dyDescent="0.15">
      <c r="A114" s="10"/>
      <c r="B114" s="3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3"/>
      <c r="P114" s="10"/>
    </row>
    <row r="115" spans="1:16" x14ac:dyDescent="0.15">
      <c r="A115" s="10"/>
      <c r="B115" s="3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3"/>
      <c r="P115" s="10"/>
    </row>
    <row r="116" spans="1:16" x14ac:dyDescent="0.15">
      <c r="A116" s="10"/>
      <c r="B116" s="3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3"/>
      <c r="P116" s="10"/>
    </row>
    <row r="117" spans="1:16" x14ac:dyDescent="0.15">
      <c r="A117" s="10"/>
      <c r="B117" s="3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3"/>
      <c r="P117" s="10"/>
    </row>
    <row r="118" spans="1:16" x14ac:dyDescent="0.15">
      <c r="A118" s="10"/>
      <c r="B118" s="3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3"/>
      <c r="P118" s="10"/>
    </row>
    <row r="119" spans="1:16" x14ac:dyDescent="0.15">
      <c r="A119" s="10"/>
      <c r="B119" s="3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3"/>
      <c r="P119" s="10"/>
    </row>
    <row r="120" spans="1:16" x14ac:dyDescent="0.15">
      <c r="A120" s="10"/>
      <c r="B120" s="3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3"/>
      <c r="P120" s="10"/>
    </row>
    <row r="121" spans="1:16" x14ac:dyDescent="0.15">
      <c r="A121" s="10"/>
      <c r="B121" s="3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3"/>
      <c r="P121" s="10"/>
    </row>
    <row r="122" spans="1:16" x14ac:dyDescent="0.15">
      <c r="A122" s="10"/>
      <c r="B122" s="3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3"/>
      <c r="P122" s="10"/>
    </row>
    <row r="123" spans="1:16" x14ac:dyDescent="0.15">
      <c r="A123" s="10"/>
      <c r="B123" s="3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3"/>
      <c r="P123" s="10"/>
    </row>
    <row r="124" spans="1:16" x14ac:dyDescent="0.15">
      <c r="A124" s="10"/>
      <c r="B124" s="3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3"/>
      <c r="P124" s="10"/>
    </row>
    <row r="125" spans="1:16" x14ac:dyDescent="0.15">
      <c r="A125" s="10"/>
      <c r="B125" s="3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3"/>
      <c r="P125" s="10"/>
    </row>
    <row r="126" spans="1:16" x14ac:dyDescent="0.15">
      <c r="A126" s="10"/>
      <c r="B126" s="3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3"/>
      <c r="P126" s="10"/>
    </row>
    <row r="127" spans="1:16" x14ac:dyDescent="0.15">
      <c r="A127" s="10"/>
      <c r="B127" s="3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3"/>
      <c r="P127" s="10"/>
    </row>
    <row r="128" spans="1:16" x14ac:dyDescent="0.15">
      <c r="A128" s="10"/>
      <c r="B128" s="3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3"/>
      <c r="P128" s="10"/>
    </row>
    <row r="129" spans="1:16" x14ac:dyDescent="0.15">
      <c r="A129" s="10"/>
      <c r="B129" s="3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3"/>
      <c r="P129" s="10"/>
    </row>
    <row r="130" spans="1:16" x14ac:dyDescent="0.15">
      <c r="A130" s="10"/>
      <c r="B130" s="3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3"/>
      <c r="P130" s="10"/>
    </row>
    <row r="131" spans="1:16" x14ac:dyDescent="0.15">
      <c r="A131" s="10"/>
      <c r="B131" s="3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3"/>
      <c r="P131" s="10"/>
    </row>
    <row r="132" spans="1:16" x14ac:dyDescent="0.15">
      <c r="A132" s="10"/>
      <c r="B132" s="3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3"/>
      <c r="P132" s="10"/>
    </row>
    <row r="133" spans="1:16" x14ac:dyDescent="0.15">
      <c r="A133" s="10"/>
      <c r="B133" s="3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3"/>
      <c r="P133" s="10"/>
    </row>
    <row r="134" spans="1:16" x14ac:dyDescent="0.15">
      <c r="A134" s="10"/>
      <c r="B134" s="3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3"/>
      <c r="P134" s="10"/>
    </row>
    <row r="135" spans="1:16" x14ac:dyDescent="0.15">
      <c r="A135" s="10"/>
      <c r="B135" s="3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3"/>
      <c r="P135" s="10"/>
    </row>
    <row r="136" spans="1:16" x14ac:dyDescent="0.15">
      <c r="A136" s="10"/>
      <c r="B136" s="3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3"/>
      <c r="P136" s="10"/>
    </row>
    <row r="137" spans="1:16" x14ac:dyDescent="0.15">
      <c r="A137" s="10"/>
      <c r="B137" s="3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3"/>
      <c r="P137" s="10"/>
    </row>
    <row r="138" spans="1:16" x14ac:dyDescent="0.15">
      <c r="A138" s="10"/>
      <c r="B138" s="3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3"/>
      <c r="P138" s="10"/>
    </row>
    <row r="139" spans="1:16" x14ac:dyDescent="0.15">
      <c r="A139" s="10"/>
      <c r="B139" s="3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3"/>
      <c r="P139" s="10"/>
    </row>
    <row r="140" spans="1:16" x14ac:dyDescent="0.15">
      <c r="A140" s="10"/>
      <c r="B140" s="3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3"/>
      <c r="P140" s="10"/>
    </row>
    <row r="141" spans="1:16" x14ac:dyDescent="0.15">
      <c r="A141" s="10"/>
      <c r="B141" s="3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3"/>
      <c r="P141" s="10"/>
    </row>
    <row r="142" spans="1:16" x14ac:dyDescent="0.15">
      <c r="A142" s="10"/>
      <c r="B142" s="3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3"/>
      <c r="P142" s="10"/>
    </row>
    <row r="143" spans="1:16" x14ac:dyDescent="0.15">
      <c r="A143" s="10"/>
      <c r="B143" s="3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3"/>
      <c r="P143" s="10"/>
    </row>
    <row r="144" spans="1:16" x14ac:dyDescent="0.15">
      <c r="A144" s="10"/>
      <c r="B144" s="3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3"/>
      <c r="P144" s="10"/>
    </row>
    <row r="145" spans="1:16" x14ac:dyDescent="0.15">
      <c r="A145" s="10"/>
      <c r="B145" s="3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3"/>
      <c r="P145" s="10"/>
    </row>
    <row r="146" spans="1:16" x14ac:dyDescent="0.15">
      <c r="A146" s="10"/>
      <c r="B146" s="3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3"/>
      <c r="P146" s="10"/>
    </row>
    <row r="147" spans="1:16" x14ac:dyDescent="0.15">
      <c r="A147" s="10"/>
      <c r="B147" s="3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3"/>
      <c r="P147" s="10"/>
    </row>
    <row r="148" spans="1:16" x14ac:dyDescent="0.15">
      <c r="A148" s="10"/>
      <c r="B148" s="3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3"/>
      <c r="P148" s="10"/>
    </row>
    <row r="149" spans="1:16" x14ac:dyDescent="0.15">
      <c r="A149" s="10"/>
      <c r="B149" s="3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3"/>
      <c r="P149" s="10"/>
    </row>
    <row r="150" spans="1:16" x14ac:dyDescent="0.15">
      <c r="A150" s="10"/>
      <c r="B150" s="3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3"/>
      <c r="P150" s="10"/>
    </row>
    <row r="151" spans="1:16" x14ac:dyDescent="0.15">
      <c r="A151" s="10"/>
      <c r="B151" s="3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3"/>
      <c r="P151" s="10"/>
    </row>
    <row r="152" spans="1:16" x14ac:dyDescent="0.15">
      <c r="A152" s="10"/>
      <c r="B152" s="3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3"/>
      <c r="P152" s="10"/>
    </row>
    <row r="153" spans="1:16" x14ac:dyDescent="0.15">
      <c r="A153" s="10"/>
      <c r="B153" s="3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3"/>
      <c r="P153" s="10"/>
    </row>
    <row r="154" spans="1:16" x14ac:dyDescent="0.15">
      <c r="A154" s="10"/>
      <c r="B154" s="3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3"/>
      <c r="P154" s="10"/>
    </row>
    <row r="155" spans="1:16" x14ac:dyDescent="0.15">
      <c r="A155" s="10"/>
      <c r="B155" s="3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3"/>
      <c r="P155" s="10"/>
    </row>
    <row r="156" spans="1:16" x14ac:dyDescent="0.15">
      <c r="A156" s="10"/>
      <c r="B156" s="3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3"/>
      <c r="P156" s="10"/>
    </row>
    <row r="157" spans="1:16" x14ac:dyDescent="0.15">
      <c r="A157" s="10"/>
      <c r="B157" s="3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3"/>
      <c r="P157" s="10"/>
    </row>
    <row r="158" spans="1:16" x14ac:dyDescent="0.15">
      <c r="A158" s="10"/>
      <c r="B158" s="3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3"/>
      <c r="P158" s="10"/>
    </row>
    <row r="159" spans="1:16" x14ac:dyDescent="0.15">
      <c r="A159" s="10"/>
      <c r="B159" s="3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3"/>
      <c r="P159" s="10"/>
    </row>
    <row r="160" spans="1:16" x14ac:dyDescent="0.15">
      <c r="A160" s="10"/>
      <c r="B160" s="3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3"/>
      <c r="P160" s="10"/>
    </row>
    <row r="161" spans="1:16" x14ac:dyDescent="0.15">
      <c r="A161" s="10"/>
      <c r="B161" s="3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3"/>
      <c r="P161" s="10"/>
    </row>
    <row r="162" spans="1:16" x14ac:dyDescent="0.15">
      <c r="A162" s="10"/>
      <c r="B162" s="3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3"/>
      <c r="P162" s="10"/>
    </row>
    <row r="163" spans="1:16" x14ac:dyDescent="0.15">
      <c r="A163" s="10"/>
      <c r="B163" s="3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3"/>
      <c r="P163" s="10"/>
    </row>
    <row r="164" spans="1:16" x14ac:dyDescent="0.15">
      <c r="A164" s="10"/>
      <c r="B164" s="3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3"/>
      <c r="P164" s="10"/>
    </row>
    <row r="165" spans="1:16" x14ac:dyDescent="0.15">
      <c r="A165" s="10"/>
      <c r="B165" s="3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3"/>
      <c r="P165" s="10"/>
    </row>
    <row r="166" spans="1:16" x14ac:dyDescent="0.15">
      <c r="A166" s="10"/>
      <c r="B166" s="3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3"/>
      <c r="P166" s="10"/>
    </row>
    <row r="167" spans="1:16" x14ac:dyDescent="0.15">
      <c r="A167" s="10"/>
      <c r="B167" s="3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3"/>
      <c r="P167" s="10"/>
    </row>
    <row r="168" spans="1:16" x14ac:dyDescent="0.15">
      <c r="A168" s="10"/>
      <c r="B168" s="3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3"/>
      <c r="P168" s="10"/>
    </row>
    <row r="169" spans="1:16" x14ac:dyDescent="0.15">
      <c r="A169" s="10"/>
      <c r="B169" s="3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3"/>
      <c r="P169" s="10"/>
    </row>
    <row r="170" spans="1:16" x14ac:dyDescent="0.15">
      <c r="A170" s="10"/>
      <c r="B170" s="3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3"/>
      <c r="P170" s="10"/>
    </row>
    <row r="171" spans="1:16" x14ac:dyDescent="0.15">
      <c r="A171" s="10"/>
      <c r="B171" s="3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3"/>
      <c r="P171" s="10"/>
    </row>
    <row r="172" spans="1:16" x14ac:dyDescent="0.15">
      <c r="A172" s="10"/>
      <c r="B172" s="3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3"/>
      <c r="P172" s="10"/>
    </row>
    <row r="173" spans="1:16" x14ac:dyDescent="0.15">
      <c r="A173" s="10"/>
      <c r="B173" s="3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3"/>
      <c r="P173" s="10"/>
    </row>
    <row r="174" spans="1:16" x14ac:dyDescent="0.15">
      <c r="A174" s="10"/>
      <c r="B174" s="3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3"/>
      <c r="P174" s="10"/>
    </row>
    <row r="175" spans="1:16" x14ac:dyDescent="0.15">
      <c r="A175" s="10"/>
      <c r="B175" s="3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3"/>
      <c r="P175" s="10"/>
    </row>
    <row r="176" spans="1:16" x14ac:dyDescent="0.15">
      <c r="A176" s="10"/>
      <c r="B176" s="3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3"/>
      <c r="P176" s="10"/>
    </row>
    <row r="177" spans="1:16" x14ac:dyDescent="0.15">
      <c r="A177" s="10"/>
      <c r="B177" s="3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3"/>
      <c r="P177" s="10"/>
    </row>
    <row r="178" spans="1:16" x14ac:dyDescent="0.15">
      <c r="A178" s="10"/>
      <c r="B178" s="3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3"/>
      <c r="P178" s="10"/>
    </row>
    <row r="179" spans="1:16" x14ac:dyDescent="0.15">
      <c r="A179" s="10"/>
      <c r="B179" s="3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3"/>
      <c r="P179" s="10"/>
    </row>
    <row r="180" spans="1:16" x14ac:dyDescent="0.15">
      <c r="A180" s="10"/>
      <c r="B180" s="3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3"/>
      <c r="P180" s="10"/>
    </row>
    <row r="181" spans="1:16" x14ac:dyDescent="0.15">
      <c r="A181" s="10"/>
      <c r="B181" s="3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3"/>
      <c r="P181" s="10"/>
    </row>
    <row r="182" spans="1:16" x14ac:dyDescent="0.15">
      <c r="A182" s="10"/>
      <c r="B182" s="3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3"/>
      <c r="P182" s="10"/>
    </row>
    <row r="183" spans="1:16" x14ac:dyDescent="0.15">
      <c r="A183" s="10"/>
      <c r="B183" s="3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3"/>
      <c r="P183" s="10"/>
    </row>
    <row r="184" spans="1:16" x14ac:dyDescent="0.15">
      <c r="A184" s="10"/>
      <c r="B184" s="3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3"/>
      <c r="P184" s="10"/>
    </row>
    <row r="185" spans="1:16" x14ac:dyDescent="0.15">
      <c r="A185" s="10"/>
      <c r="B185" s="3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3"/>
      <c r="P185" s="10"/>
    </row>
    <row r="186" spans="1:16" x14ac:dyDescent="0.15">
      <c r="A186" s="10"/>
      <c r="B186" s="3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3"/>
      <c r="P186" s="10"/>
    </row>
    <row r="187" spans="1:16" x14ac:dyDescent="0.15">
      <c r="A187" s="10"/>
      <c r="B187" s="3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3"/>
      <c r="P187" s="10"/>
    </row>
    <row r="188" spans="1:16" x14ac:dyDescent="0.15">
      <c r="A188" s="10"/>
      <c r="B188" s="3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3"/>
      <c r="P188" s="10"/>
    </row>
    <row r="189" spans="1:16" x14ac:dyDescent="0.15">
      <c r="A189" s="10"/>
      <c r="B189" s="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3"/>
      <c r="P189" s="10"/>
    </row>
    <row r="190" spans="1:16" x14ac:dyDescent="0.15">
      <c r="A190" s="10"/>
      <c r="B190" s="3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3"/>
      <c r="P190" s="10"/>
    </row>
    <row r="191" spans="1:16" x14ac:dyDescent="0.15">
      <c r="A191" s="10"/>
      <c r="B191" s="3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3"/>
      <c r="P191" s="10"/>
    </row>
    <row r="192" spans="1:16" x14ac:dyDescent="0.15">
      <c r="A192" s="10"/>
      <c r="B192" s="3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3"/>
      <c r="P192" s="10"/>
    </row>
    <row r="193" spans="1:16" x14ac:dyDescent="0.15">
      <c r="A193" s="10"/>
      <c r="B193" s="3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3"/>
      <c r="P193" s="10"/>
    </row>
    <row r="194" spans="1:16" x14ac:dyDescent="0.15">
      <c r="A194" s="10"/>
      <c r="B194" s="3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3"/>
      <c r="P194" s="10"/>
    </row>
    <row r="195" spans="1:16" x14ac:dyDescent="0.15">
      <c r="A195" s="10"/>
      <c r="B195" s="3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3"/>
      <c r="P195" s="10"/>
    </row>
    <row r="196" spans="1:16" x14ac:dyDescent="0.15">
      <c r="A196" s="10"/>
      <c r="B196" s="3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3"/>
      <c r="P196" s="10"/>
    </row>
    <row r="197" spans="1:16" x14ac:dyDescent="0.15">
      <c r="A197" s="10"/>
      <c r="B197" s="3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3"/>
      <c r="P197" s="10"/>
    </row>
    <row r="198" spans="1:16" x14ac:dyDescent="0.15">
      <c r="A198" s="10"/>
      <c r="B198" s="3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3"/>
      <c r="P198" s="10"/>
    </row>
    <row r="199" spans="1:16" x14ac:dyDescent="0.15">
      <c r="A199" s="10"/>
      <c r="B199" s="3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3"/>
      <c r="P199" s="10"/>
    </row>
    <row r="200" spans="1:16" x14ac:dyDescent="0.15">
      <c r="A200" s="10"/>
      <c r="B200" s="3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3"/>
      <c r="P200" s="10"/>
    </row>
    <row r="201" spans="1:16" x14ac:dyDescent="0.15">
      <c r="A201" s="10"/>
      <c r="B201" s="3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3"/>
      <c r="P201" s="10"/>
    </row>
    <row r="202" spans="1:16" x14ac:dyDescent="0.15">
      <c r="A202" s="10"/>
      <c r="B202" s="3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3"/>
      <c r="P202" s="10"/>
    </row>
    <row r="203" spans="1:16" x14ac:dyDescent="0.15">
      <c r="A203" s="10"/>
      <c r="B203" s="3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3"/>
      <c r="P203" s="10"/>
    </row>
    <row r="204" spans="1:16" x14ac:dyDescent="0.15">
      <c r="A204" s="10"/>
      <c r="B204" s="3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3"/>
      <c r="P204" s="10"/>
    </row>
    <row r="205" spans="1:16" x14ac:dyDescent="0.15">
      <c r="A205" s="10"/>
      <c r="B205" s="3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3"/>
      <c r="P205" s="10"/>
    </row>
    <row r="206" spans="1:16" x14ac:dyDescent="0.15">
      <c r="A206" s="10"/>
      <c r="B206" s="3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3"/>
      <c r="P206" s="10"/>
    </row>
    <row r="207" spans="1:16" x14ac:dyDescent="0.15">
      <c r="A207" s="10"/>
      <c r="B207" s="3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3"/>
      <c r="P207" s="10"/>
    </row>
    <row r="208" spans="1:16" x14ac:dyDescent="0.15">
      <c r="A208" s="10"/>
      <c r="B208" s="3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3"/>
      <c r="P208" s="10"/>
    </row>
    <row r="209" spans="1:16" x14ac:dyDescent="0.15">
      <c r="A209" s="10"/>
      <c r="B209" s="3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3"/>
      <c r="P209" s="10"/>
    </row>
    <row r="210" spans="1:16" x14ac:dyDescent="0.15">
      <c r="A210" s="10"/>
      <c r="B210" s="3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3"/>
      <c r="P210" s="10"/>
    </row>
    <row r="211" spans="1:16" x14ac:dyDescent="0.15">
      <c r="A211" s="10"/>
      <c r="B211" s="3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3"/>
      <c r="P211" s="10"/>
    </row>
    <row r="212" spans="1:16" x14ac:dyDescent="0.15">
      <c r="A212" s="10"/>
      <c r="B212" s="3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3"/>
      <c r="P212" s="10"/>
    </row>
    <row r="213" spans="1:16" x14ac:dyDescent="0.15">
      <c r="A213" s="10"/>
      <c r="B213" s="3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3"/>
      <c r="P213" s="10"/>
    </row>
    <row r="214" spans="1:16" x14ac:dyDescent="0.15">
      <c r="A214" s="10"/>
      <c r="B214" s="3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3"/>
      <c r="P214" s="10"/>
    </row>
    <row r="215" spans="1:16" x14ac:dyDescent="0.15">
      <c r="A215" s="10"/>
      <c r="B215" s="3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3"/>
      <c r="P215" s="10"/>
    </row>
    <row r="216" spans="1:16" x14ac:dyDescent="0.15">
      <c r="A216" s="10"/>
      <c r="B216" s="3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3"/>
      <c r="P216" s="10"/>
    </row>
    <row r="217" spans="1:16" x14ac:dyDescent="0.15">
      <c r="A217" s="10"/>
      <c r="B217" s="3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3"/>
      <c r="P217" s="10"/>
    </row>
    <row r="218" spans="1:16" x14ac:dyDescent="0.15">
      <c r="A218" s="10"/>
      <c r="B218" s="3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3"/>
      <c r="P218" s="10"/>
    </row>
    <row r="219" spans="1:16" x14ac:dyDescent="0.15">
      <c r="A219" s="10"/>
      <c r="B219" s="3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3"/>
      <c r="P219" s="10"/>
    </row>
    <row r="220" spans="1:16" x14ac:dyDescent="0.15">
      <c r="A220" s="10"/>
      <c r="B220" s="3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3"/>
      <c r="P220" s="10"/>
    </row>
    <row r="221" spans="1:16" x14ac:dyDescent="0.15">
      <c r="A221" s="10"/>
      <c r="B221" s="3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3"/>
      <c r="P221" s="10"/>
    </row>
    <row r="222" spans="1:16" x14ac:dyDescent="0.15">
      <c r="A222" s="10"/>
      <c r="B222" s="3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3"/>
      <c r="P222" s="10"/>
    </row>
    <row r="223" spans="1:16" x14ac:dyDescent="0.15">
      <c r="A223" s="10"/>
      <c r="B223" s="3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3"/>
      <c r="P223" s="10"/>
    </row>
    <row r="224" spans="1:16" x14ac:dyDescent="0.15">
      <c r="A224" s="10"/>
      <c r="B224" s="3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3"/>
      <c r="P224" s="10"/>
    </row>
    <row r="225" spans="1:16" x14ac:dyDescent="0.15">
      <c r="A225" s="10"/>
      <c r="B225" s="3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3"/>
      <c r="P225" s="10"/>
    </row>
    <row r="226" spans="1:16" x14ac:dyDescent="0.15">
      <c r="A226" s="10"/>
      <c r="B226" s="3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3"/>
      <c r="P226" s="10"/>
    </row>
    <row r="227" spans="1:16" x14ac:dyDescent="0.15">
      <c r="A227" s="10"/>
      <c r="B227" s="3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3"/>
      <c r="P227" s="10"/>
    </row>
    <row r="228" spans="1:16" x14ac:dyDescent="0.15">
      <c r="A228" s="10"/>
      <c r="B228" s="3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3"/>
      <c r="P228" s="10"/>
    </row>
    <row r="229" spans="1:16" x14ac:dyDescent="0.15">
      <c r="A229" s="10"/>
      <c r="B229" s="3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3"/>
      <c r="P229" s="10"/>
    </row>
    <row r="230" spans="1:16" x14ac:dyDescent="0.15">
      <c r="A230" s="10"/>
      <c r="B230" s="3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3"/>
      <c r="P230" s="10"/>
    </row>
    <row r="231" spans="1:16" x14ac:dyDescent="0.15">
      <c r="A231" s="10"/>
      <c r="B231" s="3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3"/>
      <c r="P231" s="10"/>
    </row>
    <row r="232" spans="1:16" x14ac:dyDescent="0.15">
      <c r="A232" s="10"/>
      <c r="B232" s="3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3"/>
      <c r="P232" s="10"/>
    </row>
    <row r="233" spans="1:16" x14ac:dyDescent="0.15">
      <c r="A233" s="10"/>
      <c r="B233" s="3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3"/>
      <c r="P233" s="10"/>
    </row>
    <row r="234" spans="1:16" x14ac:dyDescent="0.15">
      <c r="A234" s="10"/>
      <c r="B234" s="3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3"/>
      <c r="P234" s="10"/>
    </row>
    <row r="235" spans="1:16" x14ac:dyDescent="0.15">
      <c r="A235" s="10"/>
      <c r="B235" s="3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3"/>
      <c r="P235" s="10"/>
    </row>
    <row r="236" spans="1:16" x14ac:dyDescent="0.15">
      <c r="A236" s="10"/>
      <c r="B236" s="3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3"/>
      <c r="P236" s="10"/>
    </row>
    <row r="237" spans="1:16" x14ac:dyDescent="0.15">
      <c r="A237" s="10"/>
      <c r="B237" s="3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3"/>
      <c r="P237" s="10"/>
    </row>
    <row r="238" spans="1:16" x14ac:dyDescent="0.15">
      <c r="A238" s="10"/>
      <c r="B238" s="3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3"/>
      <c r="P238" s="10"/>
    </row>
    <row r="239" spans="1:16" x14ac:dyDescent="0.15">
      <c r="A239" s="10"/>
      <c r="B239" s="3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3"/>
      <c r="P239" s="10"/>
    </row>
    <row r="240" spans="1:16" x14ac:dyDescent="0.15">
      <c r="A240" s="10"/>
      <c r="B240" s="3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3"/>
      <c r="P240" s="10"/>
    </row>
    <row r="241" spans="1:16" x14ac:dyDescent="0.15">
      <c r="A241" s="10"/>
      <c r="B241" s="3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3"/>
      <c r="P241" s="10"/>
    </row>
    <row r="242" spans="1:16" x14ac:dyDescent="0.15">
      <c r="A242" s="10"/>
      <c r="B242" s="3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3"/>
      <c r="P242" s="10"/>
    </row>
    <row r="243" spans="1:16" x14ac:dyDescent="0.15">
      <c r="A243" s="10"/>
      <c r="B243" s="3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3"/>
      <c r="P243" s="10"/>
    </row>
    <row r="244" spans="1:16" x14ac:dyDescent="0.15">
      <c r="A244" s="10"/>
      <c r="B244" s="3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3"/>
      <c r="P244" s="10"/>
    </row>
    <row r="245" spans="1:16" x14ac:dyDescent="0.15">
      <c r="A245" s="10"/>
      <c r="B245" s="3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3"/>
      <c r="P245" s="10"/>
    </row>
    <row r="246" spans="1:16" x14ac:dyDescent="0.15">
      <c r="A246" s="10"/>
      <c r="B246" s="3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3"/>
      <c r="P246" s="10"/>
    </row>
    <row r="247" spans="1:16" x14ac:dyDescent="0.15">
      <c r="A247" s="10"/>
      <c r="B247" s="3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3"/>
      <c r="P247" s="10"/>
    </row>
    <row r="248" spans="1:16" x14ac:dyDescent="0.15">
      <c r="A248" s="10"/>
      <c r="B248" s="3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3"/>
      <c r="P248" s="10"/>
    </row>
    <row r="249" spans="1:16" x14ac:dyDescent="0.15">
      <c r="A249" s="10"/>
      <c r="B249" s="3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3"/>
      <c r="P249" s="10"/>
    </row>
    <row r="250" spans="1:16" x14ac:dyDescent="0.15">
      <c r="A250" s="10"/>
      <c r="B250" s="3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3"/>
      <c r="P250" s="10"/>
    </row>
    <row r="251" spans="1:16" x14ac:dyDescent="0.15">
      <c r="A251" s="10"/>
      <c r="B251" s="3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3"/>
      <c r="P251" s="10"/>
    </row>
    <row r="252" spans="1:16" x14ac:dyDescent="0.15">
      <c r="A252" s="10"/>
      <c r="B252" s="3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3"/>
      <c r="P252" s="10"/>
    </row>
    <row r="253" spans="1:16" x14ac:dyDescent="0.15">
      <c r="A253" s="10"/>
      <c r="B253" s="3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3"/>
      <c r="P253" s="10"/>
    </row>
    <row r="254" spans="1:16" x14ac:dyDescent="0.15">
      <c r="A254" s="10"/>
      <c r="B254" s="3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3"/>
      <c r="P254" s="10"/>
    </row>
    <row r="255" spans="1:16" x14ac:dyDescent="0.15">
      <c r="A255" s="10"/>
      <c r="B255" s="3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3"/>
      <c r="P255" s="10"/>
    </row>
    <row r="256" spans="1:16" x14ac:dyDescent="0.15">
      <c r="A256" s="10"/>
      <c r="B256" s="3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3"/>
      <c r="P256" s="10"/>
    </row>
    <row r="257" spans="1:16" x14ac:dyDescent="0.15">
      <c r="A257" s="10"/>
      <c r="B257" s="3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3"/>
      <c r="P257" s="10"/>
    </row>
    <row r="258" spans="1:16" x14ac:dyDescent="0.15">
      <c r="A258" s="10"/>
      <c r="B258" s="3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3"/>
      <c r="P258" s="10"/>
    </row>
    <row r="259" spans="1:16" x14ac:dyDescent="0.15">
      <c r="A259" s="10"/>
      <c r="B259" s="3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3"/>
      <c r="P259" s="10"/>
    </row>
    <row r="260" spans="1:16" x14ac:dyDescent="0.15">
      <c r="A260" s="10"/>
      <c r="B260" s="3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3"/>
      <c r="P260" s="10"/>
    </row>
    <row r="261" spans="1:16" x14ac:dyDescent="0.15">
      <c r="A261" s="10"/>
      <c r="B261" s="3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3"/>
      <c r="P261" s="10"/>
    </row>
    <row r="262" spans="1:16" x14ac:dyDescent="0.15">
      <c r="A262" s="10"/>
      <c r="B262" s="3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3"/>
      <c r="P262" s="10"/>
    </row>
    <row r="263" spans="1:16" x14ac:dyDescent="0.15">
      <c r="A263" s="10"/>
      <c r="B263" s="3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3"/>
      <c r="P263" s="10"/>
    </row>
    <row r="264" spans="1:16" x14ac:dyDescent="0.15">
      <c r="A264" s="10"/>
      <c r="B264" s="3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3"/>
      <c r="P264" s="10"/>
    </row>
    <row r="265" spans="1:16" x14ac:dyDescent="0.15">
      <c r="A265" s="10"/>
      <c r="B265" s="3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3"/>
      <c r="P265" s="10"/>
    </row>
    <row r="266" spans="1:16" x14ac:dyDescent="0.15">
      <c r="A266" s="10"/>
      <c r="B266" s="3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3"/>
      <c r="P266" s="10"/>
    </row>
    <row r="267" spans="1:16" x14ac:dyDescent="0.15">
      <c r="A267" s="10"/>
      <c r="B267" s="3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3"/>
      <c r="P267" s="10"/>
    </row>
    <row r="268" spans="1:16" x14ac:dyDescent="0.15">
      <c r="A268" s="10"/>
      <c r="B268" s="3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3"/>
      <c r="P268" s="10"/>
    </row>
    <row r="269" spans="1:16" x14ac:dyDescent="0.15">
      <c r="A269" s="10"/>
      <c r="B269" s="3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3"/>
      <c r="P269" s="10"/>
    </row>
    <row r="270" spans="1:16" x14ac:dyDescent="0.15">
      <c r="A270" s="10"/>
      <c r="B270" s="3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3"/>
      <c r="P270" s="10"/>
    </row>
    <row r="271" spans="1:16" x14ac:dyDescent="0.15">
      <c r="A271" s="10"/>
      <c r="B271" s="3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3"/>
      <c r="P271" s="10"/>
    </row>
    <row r="272" spans="1:16" x14ac:dyDescent="0.15">
      <c r="A272" s="10"/>
      <c r="B272" s="3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3"/>
      <c r="P272" s="10"/>
    </row>
    <row r="273" spans="1:16" x14ac:dyDescent="0.15">
      <c r="A273" s="10"/>
      <c r="B273" s="3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3"/>
      <c r="P273" s="10"/>
    </row>
    <row r="274" spans="1:16" x14ac:dyDescent="0.15">
      <c r="A274" s="10"/>
      <c r="B274" s="3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3"/>
      <c r="P274" s="10"/>
    </row>
    <row r="275" spans="1:16" x14ac:dyDescent="0.15">
      <c r="A275" s="10"/>
      <c r="B275" s="3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3"/>
      <c r="P275" s="10"/>
    </row>
    <row r="276" spans="1:16" x14ac:dyDescent="0.15">
      <c r="A276" s="10"/>
      <c r="B276" s="3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3"/>
      <c r="P276" s="10"/>
    </row>
    <row r="277" spans="1:16" x14ac:dyDescent="0.15">
      <c r="A277" s="10"/>
      <c r="B277" s="3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3"/>
      <c r="P277" s="10"/>
    </row>
    <row r="278" spans="1:16" x14ac:dyDescent="0.15">
      <c r="A278" s="10"/>
      <c r="B278" s="3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3"/>
      <c r="P278" s="10"/>
    </row>
    <row r="279" spans="1:16" x14ac:dyDescent="0.15">
      <c r="A279" s="10"/>
      <c r="B279" s="3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3"/>
      <c r="P279" s="10"/>
    </row>
    <row r="280" spans="1:16" x14ac:dyDescent="0.15">
      <c r="A280" s="10"/>
      <c r="B280" s="3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3"/>
      <c r="P280" s="10"/>
    </row>
    <row r="281" spans="1:16" x14ac:dyDescent="0.15">
      <c r="A281" s="10"/>
      <c r="B281" s="3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3"/>
      <c r="P281" s="10"/>
    </row>
    <row r="282" spans="1:16" x14ac:dyDescent="0.15">
      <c r="A282" s="10"/>
      <c r="B282" s="3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3"/>
      <c r="P282" s="10"/>
    </row>
    <row r="283" spans="1:16" x14ac:dyDescent="0.15">
      <c r="A283" s="10"/>
      <c r="B283" s="3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3"/>
      <c r="P283" s="10"/>
    </row>
    <row r="284" spans="1:16" x14ac:dyDescent="0.15">
      <c r="A284" s="10"/>
      <c r="B284" s="3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3"/>
      <c r="P284" s="10"/>
    </row>
    <row r="285" spans="1:16" x14ac:dyDescent="0.15">
      <c r="A285" s="10"/>
      <c r="B285" s="3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3"/>
      <c r="P285" s="10"/>
    </row>
    <row r="286" spans="1:16" x14ac:dyDescent="0.15">
      <c r="A286" s="10"/>
      <c r="B286" s="3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3"/>
      <c r="P286" s="10"/>
    </row>
    <row r="287" spans="1:16" x14ac:dyDescent="0.15">
      <c r="A287" s="10"/>
      <c r="B287" s="3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3"/>
      <c r="P287" s="10"/>
    </row>
    <row r="288" spans="1:16" x14ac:dyDescent="0.15">
      <c r="A288" s="10"/>
      <c r="B288" s="3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3"/>
      <c r="P288" s="10"/>
    </row>
    <row r="289" spans="1:16" x14ac:dyDescent="0.15">
      <c r="A289" s="10"/>
      <c r="B289" s="3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3"/>
      <c r="P289" s="10"/>
    </row>
    <row r="290" spans="1:16" x14ac:dyDescent="0.15">
      <c r="A290" s="10"/>
      <c r="B290" s="3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3"/>
      <c r="P290" s="10"/>
    </row>
    <row r="291" spans="1:16" x14ac:dyDescent="0.15">
      <c r="A291" s="10"/>
      <c r="B291" s="3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3"/>
      <c r="P291" s="10"/>
    </row>
    <row r="292" spans="1:16" x14ac:dyDescent="0.15">
      <c r="A292" s="10"/>
      <c r="B292" s="3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3"/>
      <c r="P292" s="10"/>
    </row>
    <row r="293" spans="1:16" x14ac:dyDescent="0.15">
      <c r="A293" s="10"/>
      <c r="B293" s="3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3"/>
      <c r="P293" s="10"/>
    </row>
    <row r="294" spans="1:16" x14ac:dyDescent="0.15">
      <c r="A294" s="10"/>
      <c r="B294" s="3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3"/>
      <c r="P294" s="10"/>
    </row>
    <row r="295" spans="1:16" x14ac:dyDescent="0.15">
      <c r="A295" s="10"/>
      <c r="B295" s="3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3"/>
      <c r="P295" s="10"/>
    </row>
    <row r="296" spans="1:16" x14ac:dyDescent="0.15">
      <c r="A296" s="10"/>
      <c r="B296" s="3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3"/>
      <c r="P296" s="10"/>
    </row>
    <row r="297" spans="1:16" x14ac:dyDescent="0.15">
      <c r="A297" s="10"/>
      <c r="B297" s="3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3"/>
      <c r="P297" s="10"/>
    </row>
    <row r="298" spans="1:16" x14ac:dyDescent="0.15">
      <c r="A298" s="10"/>
      <c r="B298" s="3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3"/>
      <c r="P298" s="10"/>
    </row>
    <row r="299" spans="1:16" x14ac:dyDescent="0.15">
      <c r="A299" s="10"/>
      <c r="B299" s="3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3"/>
      <c r="P299" s="10"/>
    </row>
    <row r="300" spans="1:16" x14ac:dyDescent="0.15">
      <c r="A300" s="10"/>
      <c r="B300" s="3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3"/>
      <c r="P300" s="10"/>
    </row>
    <row r="301" spans="1:16" x14ac:dyDescent="0.15">
      <c r="A301" s="10"/>
      <c r="B301" s="3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3"/>
      <c r="P301" s="10"/>
    </row>
    <row r="302" spans="1:16" x14ac:dyDescent="0.15">
      <c r="A302" s="10"/>
      <c r="B302" s="3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3"/>
      <c r="P302" s="10"/>
    </row>
    <row r="303" spans="1:16" x14ac:dyDescent="0.15">
      <c r="A303" s="10"/>
      <c r="B303" s="3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3"/>
      <c r="P303" s="10"/>
    </row>
    <row r="304" spans="1:16" x14ac:dyDescent="0.15">
      <c r="A304" s="10"/>
      <c r="B304" s="3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3"/>
      <c r="P304" s="10"/>
    </row>
    <row r="305" spans="1:16" x14ac:dyDescent="0.15">
      <c r="A305" s="10"/>
      <c r="B305" s="3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3"/>
      <c r="P305" s="10"/>
    </row>
    <row r="306" spans="1:16" x14ac:dyDescent="0.15">
      <c r="A306" s="10"/>
      <c r="B306" s="3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3"/>
      <c r="P306" s="10"/>
    </row>
    <row r="307" spans="1:16" x14ac:dyDescent="0.15">
      <c r="A307" s="10"/>
      <c r="B307" s="3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3"/>
      <c r="P307" s="10"/>
    </row>
    <row r="308" spans="1:16" x14ac:dyDescent="0.15">
      <c r="A308" s="10"/>
      <c r="B308" s="3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3"/>
      <c r="P308" s="10"/>
    </row>
    <row r="309" spans="1:16" x14ac:dyDescent="0.15">
      <c r="A309" s="10"/>
      <c r="B309" s="3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3"/>
      <c r="P309" s="10"/>
    </row>
    <row r="310" spans="1:16" x14ac:dyDescent="0.15">
      <c r="A310" s="10"/>
      <c r="B310" s="3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3"/>
      <c r="P310" s="10"/>
    </row>
    <row r="311" spans="1:16" x14ac:dyDescent="0.15">
      <c r="A311" s="10"/>
      <c r="B311" s="3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3"/>
      <c r="P311" s="10"/>
    </row>
    <row r="312" spans="1:16" x14ac:dyDescent="0.15">
      <c r="A312" s="10"/>
      <c r="B312" s="3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3"/>
      <c r="P312" s="10"/>
    </row>
    <row r="313" spans="1:16" x14ac:dyDescent="0.15">
      <c r="A313" s="10"/>
      <c r="B313" s="3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3"/>
      <c r="P313" s="10"/>
    </row>
    <row r="314" spans="1:16" x14ac:dyDescent="0.15">
      <c r="A314" s="10"/>
      <c r="B314" s="3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3"/>
      <c r="P314" s="10"/>
    </row>
    <row r="315" spans="1:16" x14ac:dyDescent="0.15">
      <c r="A315" s="10"/>
      <c r="B315" s="3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3"/>
      <c r="P315" s="10"/>
    </row>
    <row r="316" spans="1:16" x14ac:dyDescent="0.15">
      <c r="A316" s="10"/>
      <c r="B316" s="3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3"/>
      <c r="P316" s="10"/>
    </row>
    <row r="317" spans="1:16" x14ac:dyDescent="0.15">
      <c r="A317" s="10"/>
      <c r="B317" s="3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3"/>
      <c r="P317" s="10"/>
    </row>
    <row r="318" spans="1:16" x14ac:dyDescent="0.15">
      <c r="A318" s="10"/>
      <c r="B318" s="3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3"/>
      <c r="P318" s="10"/>
    </row>
    <row r="319" spans="1:16" x14ac:dyDescent="0.15">
      <c r="A319" s="10"/>
      <c r="B319" s="3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3"/>
      <c r="P319" s="10"/>
    </row>
    <row r="320" spans="1:16" x14ac:dyDescent="0.15">
      <c r="A320" s="10"/>
      <c r="B320" s="3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3"/>
      <c r="P320" s="10"/>
    </row>
    <row r="321" spans="1:16" x14ac:dyDescent="0.15">
      <c r="A321" s="10"/>
      <c r="B321" s="3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3"/>
      <c r="P321" s="10"/>
    </row>
    <row r="322" spans="1:16" x14ac:dyDescent="0.15">
      <c r="A322" s="10"/>
      <c r="B322" s="3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3"/>
      <c r="P322" s="10"/>
    </row>
    <row r="323" spans="1:16" x14ac:dyDescent="0.15">
      <c r="A323" s="10"/>
      <c r="B323" s="3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3"/>
      <c r="P323" s="10"/>
    </row>
    <row r="324" spans="1:16" x14ac:dyDescent="0.15">
      <c r="A324" s="10"/>
      <c r="B324" s="3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3"/>
      <c r="P324" s="10"/>
    </row>
    <row r="325" spans="1:16" x14ac:dyDescent="0.15">
      <c r="A325" s="10"/>
      <c r="B325" s="3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3"/>
      <c r="P325" s="10"/>
    </row>
    <row r="326" spans="1:16" x14ac:dyDescent="0.15">
      <c r="A326" s="10"/>
      <c r="B326" s="3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3"/>
      <c r="P326" s="10"/>
    </row>
    <row r="327" spans="1:16" x14ac:dyDescent="0.15">
      <c r="A327" s="10"/>
      <c r="B327" s="3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3"/>
      <c r="P327" s="10"/>
    </row>
    <row r="328" spans="1:16" x14ac:dyDescent="0.15">
      <c r="A328" s="10"/>
      <c r="B328" s="3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3"/>
      <c r="P328" s="10"/>
    </row>
    <row r="329" spans="1:16" x14ac:dyDescent="0.15">
      <c r="A329" s="10"/>
      <c r="B329" s="3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3"/>
      <c r="P329" s="10"/>
    </row>
    <row r="330" spans="1:16" x14ac:dyDescent="0.15">
      <c r="A330" s="10"/>
      <c r="B330" s="3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3"/>
      <c r="P330" s="10"/>
    </row>
    <row r="331" spans="1:16" x14ac:dyDescent="0.15">
      <c r="A331" s="10"/>
      <c r="B331" s="3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3"/>
      <c r="P331" s="10"/>
    </row>
    <row r="332" spans="1:16" x14ac:dyDescent="0.15">
      <c r="A332" s="10"/>
      <c r="B332" s="3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3"/>
      <c r="P332" s="10"/>
    </row>
    <row r="333" spans="1:16" x14ac:dyDescent="0.15">
      <c r="A333" s="10"/>
      <c r="B333" s="3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3"/>
      <c r="P333" s="10"/>
    </row>
    <row r="334" spans="1:16" x14ac:dyDescent="0.15">
      <c r="A334" s="10"/>
      <c r="B334" s="3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3"/>
      <c r="P334" s="10"/>
    </row>
    <row r="335" spans="1:16" x14ac:dyDescent="0.15">
      <c r="A335" s="10"/>
      <c r="B335" s="3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3"/>
      <c r="P335" s="10"/>
    </row>
    <row r="336" spans="1:16" x14ac:dyDescent="0.15">
      <c r="A336" s="10"/>
      <c r="B336" s="3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3"/>
      <c r="P336" s="10"/>
    </row>
    <row r="337" spans="1:16" x14ac:dyDescent="0.15">
      <c r="A337" s="10"/>
      <c r="B337" s="3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3"/>
      <c r="P337" s="10"/>
    </row>
    <row r="338" spans="1:16" x14ac:dyDescent="0.15">
      <c r="A338" s="10"/>
      <c r="B338" s="3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3"/>
      <c r="P338" s="10"/>
    </row>
    <row r="339" spans="1:16" x14ac:dyDescent="0.15">
      <c r="A339" s="10"/>
      <c r="B339" s="3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3"/>
      <c r="P339" s="10"/>
    </row>
    <row r="340" spans="1:16" x14ac:dyDescent="0.15">
      <c r="A340" s="10"/>
      <c r="B340" s="3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3"/>
      <c r="P340" s="10"/>
    </row>
    <row r="341" spans="1:16" x14ac:dyDescent="0.15">
      <c r="A341" s="10"/>
      <c r="B341" s="3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3"/>
      <c r="P341" s="10"/>
    </row>
    <row r="342" spans="1:16" x14ac:dyDescent="0.15">
      <c r="A342" s="10"/>
      <c r="B342" s="3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3"/>
      <c r="P342" s="10"/>
    </row>
    <row r="343" spans="1:16" x14ac:dyDescent="0.15">
      <c r="A343" s="10"/>
      <c r="B343" s="3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3"/>
      <c r="P343" s="10"/>
    </row>
    <row r="344" spans="1:16" x14ac:dyDescent="0.15">
      <c r="A344" s="10"/>
      <c r="B344" s="3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3"/>
      <c r="P344" s="10"/>
    </row>
    <row r="345" spans="1:16" x14ac:dyDescent="0.15">
      <c r="A345" s="10"/>
      <c r="B345" s="3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3"/>
      <c r="P345" s="10"/>
    </row>
    <row r="346" spans="1:16" x14ac:dyDescent="0.15">
      <c r="A346" s="10"/>
      <c r="B346" s="3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3"/>
      <c r="P346" s="10"/>
    </row>
    <row r="347" spans="1:16" x14ac:dyDescent="0.15">
      <c r="A347" s="10"/>
      <c r="B347" s="3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3"/>
      <c r="P347" s="10"/>
    </row>
    <row r="348" spans="1:16" x14ac:dyDescent="0.15">
      <c r="A348" s="10"/>
      <c r="B348" s="3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3"/>
      <c r="P348" s="10"/>
    </row>
    <row r="349" spans="1:16" x14ac:dyDescent="0.15">
      <c r="A349" s="10"/>
      <c r="B349" s="3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3"/>
      <c r="P349" s="10"/>
    </row>
    <row r="350" spans="1:16" x14ac:dyDescent="0.15">
      <c r="A350" s="10"/>
      <c r="B350" s="3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3"/>
      <c r="P350" s="10"/>
    </row>
    <row r="351" spans="1:16" x14ac:dyDescent="0.15">
      <c r="A351" s="10"/>
      <c r="B351" s="3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3"/>
      <c r="P351" s="10"/>
    </row>
    <row r="352" spans="1:16" x14ac:dyDescent="0.15">
      <c r="A352" s="10"/>
      <c r="B352" s="3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3"/>
      <c r="P352" s="10"/>
    </row>
    <row r="353" spans="1:16" x14ac:dyDescent="0.15">
      <c r="A353" s="10"/>
      <c r="B353" s="3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3"/>
      <c r="P353" s="10"/>
    </row>
    <row r="354" spans="1:16" x14ac:dyDescent="0.15">
      <c r="A354" s="10"/>
      <c r="B354" s="3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3"/>
      <c r="P354" s="10"/>
    </row>
    <row r="355" spans="1:16" x14ac:dyDescent="0.15">
      <c r="A355" s="10"/>
      <c r="B355" s="3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3"/>
      <c r="P355" s="10"/>
    </row>
    <row r="356" spans="1:16" x14ac:dyDescent="0.15">
      <c r="A356" s="10"/>
      <c r="B356" s="3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3"/>
      <c r="P356" s="10"/>
    </row>
    <row r="357" spans="1:16" x14ac:dyDescent="0.15">
      <c r="A357" s="10"/>
      <c r="B357" s="3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3"/>
      <c r="P357" s="10"/>
    </row>
    <row r="358" spans="1:16" x14ac:dyDescent="0.15">
      <c r="A358" s="10"/>
      <c r="B358" s="3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3"/>
      <c r="P358" s="10"/>
    </row>
    <row r="359" spans="1:16" x14ac:dyDescent="0.15">
      <c r="A359" s="10"/>
      <c r="B359" s="3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3"/>
      <c r="P359" s="10"/>
    </row>
    <row r="360" spans="1:16" x14ac:dyDescent="0.15">
      <c r="A360" s="10"/>
      <c r="B360" s="3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3"/>
      <c r="P360" s="10"/>
    </row>
    <row r="361" spans="1:16" x14ac:dyDescent="0.15">
      <c r="A361" s="10"/>
      <c r="B361" s="3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3"/>
      <c r="P361" s="10"/>
    </row>
    <row r="362" spans="1:16" x14ac:dyDescent="0.15">
      <c r="A362" s="10"/>
      <c r="B362" s="3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3"/>
      <c r="P362" s="10"/>
    </row>
    <row r="363" spans="1:16" x14ac:dyDescent="0.15">
      <c r="A363" s="10"/>
      <c r="B363" s="3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3"/>
      <c r="P363" s="10"/>
    </row>
    <row r="364" spans="1:16" x14ac:dyDescent="0.15">
      <c r="A364" s="10"/>
      <c r="B364" s="3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3"/>
      <c r="P364" s="10"/>
    </row>
    <row r="365" spans="1:16" x14ac:dyDescent="0.15">
      <c r="A365" s="10"/>
      <c r="B365" s="3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3"/>
      <c r="P365" s="10"/>
    </row>
    <row r="366" spans="1:16" x14ac:dyDescent="0.15">
      <c r="A366" s="10"/>
      <c r="B366" s="3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3"/>
      <c r="P366" s="10"/>
    </row>
    <row r="367" spans="1:16" x14ac:dyDescent="0.15">
      <c r="A367" s="10"/>
      <c r="B367" s="3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3"/>
      <c r="P367" s="10"/>
    </row>
    <row r="368" spans="1:16" x14ac:dyDescent="0.15">
      <c r="A368" s="10"/>
      <c r="B368" s="3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3"/>
      <c r="P368" s="10"/>
    </row>
    <row r="369" spans="1:16" x14ac:dyDescent="0.15">
      <c r="A369" s="10"/>
      <c r="B369" s="3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3"/>
      <c r="P369" s="10"/>
    </row>
    <row r="370" spans="1:16" x14ac:dyDescent="0.15">
      <c r="A370" s="10"/>
      <c r="B370" s="3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3"/>
      <c r="P370" s="10"/>
    </row>
    <row r="371" spans="1:16" x14ac:dyDescent="0.15">
      <c r="A371" s="10"/>
      <c r="B371" s="3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3"/>
      <c r="P371" s="10"/>
    </row>
    <row r="372" spans="1:16" x14ac:dyDescent="0.15">
      <c r="A372" s="10"/>
      <c r="B372" s="3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3"/>
      <c r="P372" s="10"/>
    </row>
    <row r="373" spans="1:16" x14ac:dyDescent="0.15">
      <c r="A373" s="10"/>
      <c r="B373" s="3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3"/>
      <c r="P373" s="10"/>
    </row>
    <row r="374" spans="1:16" x14ac:dyDescent="0.15">
      <c r="A374" s="10"/>
      <c r="B374" s="3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3"/>
      <c r="P374" s="10"/>
    </row>
    <row r="375" spans="1:16" x14ac:dyDescent="0.15">
      <c r="A375" s="10"/>
      <c r="B375" s="3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3"/>
      <c r="P375" s="10"/>
    </row>
    <row r="376" spans="1:16" x14ac:dyDescent="0.15">
      <c r="A376" s="10"/>
      <c r="B376" s="3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3"/>
      <c r="P376" s="10"/>
    </row>
    <row r="377" spans="1:16" x14ac:dyDescent="0.15">
      <c r="A377" s="10"/>
      <c r="B377" s="3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3"/>
      <c r="P377" s="10"/>
    </row>
    <row r="378" spans="1:16" x14ac:dyDescent="0.15">
      <c r="A378" s="10"/>
      <c r="B378" s="3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3"/>
      <c r="P378" s="10"/>
    </row>
    <row r="379" spans="1:16" x14ac:dyDescent="0.15">
      <c r="A379" s="10"/>
      <c r="B379" s="3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3"/>
      <c r="P379" s="10"/>
    </row>
    <row r="380" spans="1:16" x14ac:dyDescent="0.15">
      <c r="A380" s="10"/>
      <c r="B380" s="3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3"/>
      <c r="P380" s="10"/>
    </row>
    <row r="381" spans="1:16" x14ac:dyDescent="0.15">
      <c r="A381" s="10"/>
      <c r="B381" s="3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3"/>
      <c r="P381" s="10"/>
    </row>
    <row r="382" spans="1:16" x14ac:dyDescent="0.15">
      <c r="A382" s="10"/>
      <c r="B382" s="3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3"/>
      <c r="P382" s="10"/>
    </row>
    <row r="383" spans="1:16" x14ac:dyDescent="0.15">
      <c r="A383" s="10"/>
      <c r="B383" s="3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3"/>
      <c r="P383" s="10"/>
    </row>
    <row r="384" spans="1:16" x14ac:dyDescent="0.15">
      <c r="A384" s="10"/>
      <c r="B384" s="3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3"/>
      <c r="P384" s="10"/>
    </row>
    <row r="385" spans="1:16" x14ac:dyDescent="0.15">
      <c r="A385" s="10"/>
      <c r="B385" s="3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3"/>
      <c r="P385" s="10"/>
    </row>
    <row r="386" spans="1:16" x14ac:dyDescent="0.15">
      <c r="A386" s="10"/>
      <c r="B386" s="3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3"/>
      <c r="P386" s="10"/>
    </row>
    <row r="387" spans="1:16" x14ac:dyDescent="0.15">
      <c r="A387" s="10"/>
      <c r="B387" s="3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3"/>
      <c r="P387" s="10"/>
    </row>
    <row r="388" spans="1:16" x14ac:dyDescent="0.15">
      <c r="A388" s="10"/>
      <c r="B388" s="3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3"/>
      <c r="P388" s="10"/>
    </row>
    <row r="389" spans="1:16" x14ac:dyDescent="0.15">
      <c r="A389" s="10"/>
      <c r="B389" s="3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3"/>
      <c r="P389" s="10"/>
    </row>
    <row r="390" spans="1:16" x14ac:dyDescent="0.15">
      <c r="A390" s="10"/>
      <c r="B390" s="3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3"/>
      <c r="P390" s="10"/>
    </row>
    <row r="391" spans="1:16" x14ac:dyDescent="0.15">
      <c r="A391" s="10"/>
      <c r="B391" s="3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3"/>
      <c r="P391" s="10"/>
    </row>
    <row r="392" spans="1:16" x14ac:dyDescent="0.15">
      <c r="A392" s="10"/>
      <c r="B392" s="3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3"/>
      <c r="P392" s="10"/>
    </row>
    <row r="393" spans="1:16" x14ac:dyDescent="0.15">
      <c r="A393" s="10"/>
      <c r="B393" s="3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3"/>
      <c r="P393" s="10"/>
    </row>
    <row r="394" spans="1:16" x14ac:dyDescent="0.15">
      <c r="A394" s="10"/>
      <c r="B394" s="3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3"/>
      <c r="P394" s="10"/>
    </row>
    <row r="395" spans="1:16" x14ac:dyDescent="0.15">
      <c r="A395" s="10"/>
      <c r="B395" s="3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3"/>
      <c r="P395" s="10"/>
    </row>
    <row r="396" spans="1:16" x14ac:dyDescent="0.15">
      <c r="A396" s="10"/>
      <c r="B396" s="3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3"/>
      <c r="P396" s="10"/>
    </row>
    <row r="397" spans="1:16" x14ac:dyDescent="0.15">
      <c r="A397" s="10"/>
      <c r="B397" s="3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3"/>
      <c r="P397" s="10"/>
    </row>
    <row r="398" spans="1:16" x14ac:dyDescent="0.15">
      <c r="A398" s="10"/>
      <c r="B398" s="3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3"/>
      <c r="P398" s="10"/>
    </row>
    <row r="399" spans="1:16" x14ac:dyDescent="0.15">
      <c r="A399" s="10"/>
      <c r="B399" s="3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3"/>
      <c r="P399" s="10"/>
    </row>
    <row r="400" spans="1:16" x14ac:dyDescent="0.15">
      <c r="A400" s="10"/>
      <c r="B400" s="3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3"/>
      <c r="P400" s="10"/>
    </row>
    <row r="401" spans="1:16" x14ac:dyDescent="0.15">
      <c r="A401" s="10"/>
      <c r="B401" s="3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3"/>
      <c r="P401" s="10"/>
    </row>
    <row r="402" spans="1:16" x14ac:dyDescent="0.15">
      <c r="A402" s="10"/>
      <c r="B402" s="3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3"/>
      <c r="P402" s="10"/>
    </row>
    <row r="403" spans="1:16" x14ac:dyDescent="0.15">
      <c r="A403" s="10"/>
      <c r="B403" s="3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3"/>
      <c r="P403" s="10"/>
    </row>
    <row r="404" spans="1:16" x14ac:dyDescent="0.15">
      <c r="A404" s="10"/>
      <c r="B404" s="3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3"/>
      <c r="P404" s="10"/>
    </row>
    <row r="405" spans="1:16" x14ac:dyDescent="0.15">
      <c r="A405" s="10"/>
      <c r="B405" s="3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3"/>
      <c r="P405" s="10"/>
    </row>
    <row r="406" spans="1:16" x14ac:dyDescent="0.15">
      <c r="A406" s="10"/>
      <c r="B406" s="3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3"/>
      <c r="P406" s="10"/>
    </row>
    <row r="407" spans="1:16" x14ac:dyDescent="0.15">
      <c r="A407" s="10"/>
      <c r="B407" s="3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3"/>
      <c r="P407" s="10"/>
    </row>
    <row r="408" spans="1:16" x14ac:dyDescent="0.15">
      <c r="A408" s="10"/>
      <c r="B408" s="3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3"/>
      <c r="P408" s="10"/>
    </row>
    <row r="409" spans="1:16" x14ac:dyDescent="0.15">
      <c r="A409" s="10"/>
      <c r="B409" s="3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3"/>
      <c r="P409" s="10"/>
    </row>
    <row r="410" spans="1:16" x14ac:dyDescent="0.15">
      <c r="A410" s="10"/>
      <c r="B410" s="3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3"/>
      <c r="P410" s="10"/>
    </row>
    <row r="411" spans="1:16" x14ac:dyDescent="0.15">
      <c r="A411" s="10"/>
      <c r="B411" s="3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3"/>
      <c r="P411" s="10"/>
    </row>
    <row r="412" spans="1:16" x14ac:dyDescent="0.15">
      <c r="A412" s="10"/>
      <c r="B412" s="3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3"/>
      <c r="P412" s="10"/>
    </row>
    <row r="413" spans="1:16" x14ac:dyDescent="0.15">
      <c r="A413" s="10"/>
      <c r="B413" s="3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3"/>
      <c r="P413" s="10"/>
    </row>
    <row r="414" spans="1:16" x14ac:dyDescent="0.15">
      <c r="A414" s="10"/>
      <c r="B414" s="3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3"/>
      <c r="P414" s="10"/>
    </row>
    <row r="415" spans="1:16" x14ac:dyDescent="0.15">
      <c r="A415" s="10"/>
      <c r="B415" s="3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3"/>
      <c r="P415" s="10"/>
    </row>
    <row r="416" spans="1:16" x14ac:dyDescent="0.15">
      <c r="A416" s="10"/>
      <c r="B416" s="3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3"/>
      <c r="P416" s="10"/>
    </row>
    <row r="417" spans="1:16" x14ac:dyDescent="0.15">
      <c r="A417" s="10"/>
      <c r="B417" s="3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3"/>
      <c r="P417" s="10"/>
    </row>
    <row r="418" spans="1:16" x14ac:dyDescent="0.15">
      <c r="A418" s="10"/>
      <c r="B418" s="3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3"/>
      <c r="P418" s="10"/>
    </row>
    <row r="419" spans="1:16" x14ac:dyDescent="0.15">
      <c r="A419" s="10"/>
      <c r="B419" s="3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3"/>
      <c r="P419" s="10"/>
    </row>
    <row r="420" spans="1:16" x14ac:dyDescent="0.15">
      <c r="A420" s="10"/>
      <c r="B420" s="3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3"/>
      <c r="P420" s="10"/>
    </row>
    <row r="421" spans="1:16" x14ac:dyDescent="0.15">
      <c r="A421" s="10"/>
      <c r="B421" s="3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3"/>
      <c r="P421" s="10"/>
    </row>
    <row r="422" spans="1:16" x14ac:dyDescent="0.15">
      <c r="A422" s="10"/>
      <c r="B422" s="3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3"/>
      <c r="P422" s="10"/>
    </row>
    <row r="423" spans="1:16" x14ac:dyDescent="0.15">
      <c r="A423" s="10"/>
      <c r="B423" s="3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3"/>
      <c r="P423" s="10"/>
    </row>
    <row r="424" spans="1:16" x14ac:dyDescent="0.15">
      <c r="A424" s="10"/>
      <c r="B424" s="3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3"/>
      <c r="P424" s="10"/>
    </row>
    <row r="425" spans="1:16" x14ac:dyDescent="0.15">
      <c r="A425" s="10"/>
      <c r="B425" s="3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3"/>
      <c r="P425" s="10"/>
    </row>
    <row r="426" spans="1:16" x14ac:dyDescent="0.15">
      <c r="A426" s="10"/>
      <c r="B426" s="3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3"/>
      <c r="P426" s="10"/>
    </row>
    <row r="427" spans="1:16" x14ac:dyDescent="0.15">
      <c r="A427" s="10"/>
      <c r="B427" s="3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3"/>
      <c r="P427" s="10"/>
    </row>
    <row r="428" spans="1:16" x14ac:dyDescent="0.15">
      <c r="A428" s="10"/>
      <c r="B428" s="3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3"/>
      <c r="P428" s="10"/>
    </row>
    <row r="429" spans="1:16" x14ac:dyDescent="0.15">
      <c r="A429" s="10"/>
      <c r="B429" s="3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3"/>
      <c r="P429" s="10"/>
    </row>
    <row r="430" spans="1:16" x14ac:dyDescent="0.15">
      <c r="A430" s="10"/>
      <c r="B430" s="3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3"/>
      <c r="P430" s="10"/>
    </row>
    <row r="431" spans="1:16" x14ac:dyDescent="0.15">
      <c r="A431" s="10"/>
      <c r="B431" s="3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3"/>
      <c r="P431" s="10"/>
    </row>
    <row r="432" spans="1:16" x14ac:dyDescent="0.15">
      <c r="A432" s="10"/>
      <c r="B432" s="3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3"/>
      <c r="P432" s="10"/>
    </row>
    <row r="433" spans="1:16" x14ac:dyDescent="0.15">
      <c r="A433" s="10"/>
      <c r="B433" s="3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3"/>
      <c r="P433" s="10"/>
    </row>
    <row r="434" spans="1:16" x14ac:dyDescent="0.15">
      <c r="A434" s="10"/>
      <c r="B434" s="3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3"/>
      <c r="P434" s="10"/>
    </row>
    <row r="435" spans="1:16" x14ac:dyDescent="0.15">
      <c r="A435" s="10"/>
      <c r="B435" s="3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3"/>
      <c r="P435" s="10"/>
    </row>
    <row r="436" spans="1:16" x14ac:dyDescent="0.15">
      <c r="A436" s="10"/>
      <c r="B436" s="3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3"/>
      <c r="P436" s="10"/>
    </row>
    <row r="437" spans="1:16" x14ac:dyDescent="0.15">
      <c r="A437" s="10"/>
      <c r="B437" s="3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3"/>
      <c r="P437" s="10"/>
    </row>
    <row r="438" spans="1:16" x14ac:dyDescent="0.15">
      <c r="A438" s="10"/>
      <c r="B438" s="3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3"/>
      <c r="P438" s="10"/>
    </row>
    <row r="439" spans="1:16" x14ac:dyDescent="0.15">
      <c r="A439" s="10"/>
      <c r="B439" s="3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3"/>
      <c r="P439" s="10"/>
    </row>
    <row r="440" spans="1:16" x14ac:dyDescent="0.15">
      <c r="A440" s="10"/>
      <c r="B440" s="3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3"/>
      <c r="P440" s="10"/>
    </row>
    <row r="441" spans="1:16" x14ac:dyDescent="0.15">
      <c r="A441" s="10"/>
      <c r="B441" s="3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3"/>
      <c r="P441" s="10"/>
    </row>
    <row r="442" spans="1:16" x14ac:dyDescent="0.15">
      <c r="A442" s="10"/>
      <c r="B442" s="3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3"/>
      <c r="P442" s="10"/>
    </row>
    <row r="443" spans="1:16" x14ac:dyDescent="0.15">
      <c r="A443" s="10"/>
      <c r="B443" s="3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3"/>
      <c r="P443" s="10"/>
    </row>
    <row r="444" spans="1:16" x14ac:dyDescent="0.15">
      <c r="A444" s="10"/>
      <c r="B444" s="3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3"/>
      <c r="P444" s="10"/>
    </row>
    <row r="445" spans="1:16" x14ac:dyDescent="0.15">
      <c r="A445" s="10"/>
      <c r="B445" s="3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3"/>
      <c r="P445" s="10"/>
    </row>
    <row r="446" spans="1:16" x14ac:dyDescent="0.15">
      <c r="A446" s="10"/>
      <c r="B446" s="3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3"/>
      <c r="P446" s="10"/>
    </row>
    <row r="447" spans="1:16" x14ac:dyDescent="0.15">
      <c r="A447" s="10"/>
      <c r="B447" s="3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3"/>
      <c r="P447" s="10"/>
    </row>
    <row r="448" spans="1:16" x14ac:dyDescent="0.15">
      <c r="A448" s="10"/>
      <c r="B448" s="3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3"/>
      <c r="P448" s="10"/>
    </row>
    <row r="449" spans="1:16" x14ac:dyDescent="0.15">
      <c r="A449" s="10"/>
      <c r="B449" s="3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3"/>
      <c r="P449" s="10"/>
    </row>
    <row r="450" spans="1:16" x14ac:dyDescent="0.15">
      <c r="A450" s="10"/>
      <c r="B450" s="3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3"/>
      <c r="P450" s="10"/>
    </row>
    <row r="451" spans="1:16" x14ac:dyDescent="0.15">
      <c r="A451" s="10"/>
      <c r="B451" s="3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3"/>
      <c r="P451" s="10"/>
    </row>
    <row r="452" spans="1:16" x14ac:dyDescent="0.15">
      <c r="A452" s="10"/>
      <c r="B452" s="3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3"/>
      <c r="P452" s="10"/>
    </row>
    <row r="453" spans="1:16" x14ac:dyDescent="0.15">
      <c r="A453" s="10"/>
      <c r="B453" s="3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3"/>
      <c r="P453" s="10"/>
    </row>
    <row r="454" spans="1:16" x14ac:dyDescent="0.15">
      <c r="A454" s="10"/>
      <c r="B454" s="3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3"/>
      <c r="P454" s="10"/>
    </row>
    <row r="455" spans="1:16" x14ac:dyDescent="0.15">
      <c r="A455" s="10"/>
      <c r="B455" s="3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3"/>
      <c r="P455" s="10"/>
    </row>
    <row r="456" spans="1:16" x14ac:dyDescent="0.15">
      <c r="A456" s="10"/>
      <c r="B456" s="3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3"/>
      <c r="P456" s="10"/>
    </row>
    <row r="457" spans="1:16" x14ac:dyDescent="0.15">
      <c r="A457" s="10"/>
      <c r="B457" s="3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3"/>
      <c r="P457" s="10"/>
    </row>
    <row r="458" spans="1:16" x14ac:dyDescent="0.15">
      <c r="A458" s="10"/>
      <c r="B458" s="3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3"/>
      <c r="P458" s="10"/>
    </row>
    <row r="459" spans="1:16" x14ac:dyDescent="0.15">
      <c r="A459" s="10"/>
      <c r="B459" s="3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3"/>
      <c r="P459" s="10"/>
    </row>
    <row r="460" spans="1:16" x14ac:dyDescent="0.15">
      <c r="A460" s="10"/>
      <c r="B460" s="3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3"/>
      <c r="P460" s="10"/>
    </row>
    <row r="461" spans="1:16" x14ac:dyDescent="0.15">
      <c r="A461" s="10"/>
      <c r="B461" s="3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3"/>
      <c r="P461" s="10"/>
    </row>
    <row r="462" spans="1:16" x14ac:dyDescent="0.15">
      <c r="A462" s="10"/>
      <c r="B462" s="3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3"/>
      <c r="P462" s="10"/>
    </row>
    <row r="463" spans="1:16" x14ac:dyDescent="0.15">
      <c r="A463" s="10"/>
      <c r="B463" s="3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3"/>
      <c r="P463" s="10"/>
    </row>
    <row r="464" spans="1:16" x14ac:dyDescent="0.15">
      <c r="A464" s="10"/>
      <c r="B464" s="3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3"/>
      <c r="P464" s="10"/>
    </row>
    <row r="465" spans="1:16" x14ac:dyDescent="0.15">
      <c r="A465" s="10"/>
      <c r="B465" s="3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3"/>
      <c r="P465" s="10"/>
    </row>
    <row r="466" spans="1:16" x14ac:dyDescent="0.15">
      <c r="A466" s="10"/>
      <c r="B466" s="3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3"/>
      <c r="P466" s="10"/>
    </row>
    <row r="467" spans="1:16" x14ac:dyDescent="0.15">
      <c r="A467" s="10"/>
      <c r="B467" s="3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3"/>
      <c r="P467" s="10"/>
    </row>
    <row r="468" spans="1:16" x14ac:dyDescent="0.15">
      <c r="A468" s="10"/>
      <c r="B468" s="3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3"/>
      <c r="P468" s="10"/>
    </row>
    <row r="469" spans="1:16" x14ac:dyDescent="0.15">
      <c r="A469" s="10"/>
      <c r="B469" s="3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3"/>
      <c r="P469" s="10"/>
    </row>
    <row r="470" spans="1:16" x14ac:dyDescent="0.15">
      <c r="A470" s="10"/>
      <c r="B470" s="3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3"/>
      <c r="P470" s="10"/>
    </row>
    <row r="471" spans="1:16" x14ac:dyDescent="0.15">
      <c r="A471" s="10"/>
      <c r="B471" s="3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3"/>
      <c r="P471" s="10"/>
    </row>
    <row r="472" spans="1:16" x14ac:dyDescent="0.15">
      <c r="A472" s="10"/>
      <c r="B472" s="3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3"/>
      <c r="P472" s="10"/>
    </row>
    <row r="473" spans="1:16" x14ac:dyDescent="0.15">
      <c r="A473" s="10"/>
      <c r="B473" s="3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3"/>
      <c r="P473" s="10"/>
    </row>
    <row r="474" spans="1:16" x14ac:dyDescent="0.15">
      <c r="A474" s="10"/>
      <c r="B474" s="3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3"/>
      <c r="P474" s="10"/>
    </row>
    <row r="475" spans="1:16" x14ac:dyDescent="0.15">
      <c r="A475" s="10"/>
      <c r="B475" s="3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3"/>
      <c r="P475" s="10"/>
    </row>
    <row r="476" spans="1:16" x14ac:dyDescent="0.15">
      <c r="A476" s="10"/>
      <c r="B476" s="3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3"/>
      <c r="P476" s="10"/>
    </row>
    <row r="477" spans="1:16" x14ac:dyDescent="0.15">
      <c r="A477" s="10"/>
      <c r="B477" s="3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3"/>
      <c r="P477" s="10"/>
    </row>
    <row r="478" spans="1:16" x14ac:dyDescent="0.15">
      <c r="A478" s="10"/>
      <c r="B478" s="3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3"/>
      <c r="P478" s="10"/>
    </row>
    <row r="479" spans="1:16" x14ac:dyDescent="0.15">
      <c r="A479" s="10"/>
      <c r="B479" s="3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3"/>
      <c r="P479" s="10"/>
    </row>
    <row r="480" spans="1:16" x14ac:dyDescent="0.15">
      <c r="A480" s="10"/>
      <c r="B480" s="3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3"/>
      <c r="P480" s="10"/>
    </row>
    <row r="481" spans="1:16" x14ac:dyDescent="0.15">
      <c r="A481" s="10"/>
      <c r="B481" s="3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3"/>
      <c r="P481" s="10"/>
    </row>
    <row r="482" spans="1:16" x14ac:dyDescent="0.15">
      <c r="A482" s="10"/>
      <c r="B482" s="3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3"/>
      <c r="P482" s="10"/>
    </row>
    <row r="483" spans="1:16" x14ac:dyDescent="0.15">
      <c r="A483" s="10"/>
      <c r="B483" s="3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3"/>
      <c r="P483" s="10"/>
    </row>
    <row r="484" spans="1:16" x14ac:dyDescent="0.15">
      <c r="A484" s="10"/>
      <c r="B484" s="3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3"/>
      <c r="P484" s="10"/>
    </row>
    <row r="485" spans="1:16" x14ac:dyDescent="0.15">
      <c r="A485" s="10"/>
      <c r="B485" s="3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3"/>
      <c r="P485" s="10"/>
    </row>
    <row r="486" spans="1:16" x14ac:dyDescent="0.15">
      <c r="A486" s="10"/>
      <c r="B486" s="3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3"/>
      <c r="P486" s="10"/>
    </row>
    <row r="487" spans="1:16" x14ac:dyDescent="0.15">
      <c r="A487" s="10"/>
      <c r="B487" s="3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3"/>
      <c r="P487" s="10"/>
    </row>
    <row r="488" spans="1:16" x14ac:dyDescent="0.15">
      <c r="A488" s="10"/>
      <c r="B488" s="3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3"/>
      <c r="P488" s="10"/>
    </row>
    <row r="489" spans="1:16" x14ac:dyDescent="0.15">
      <c r="A489" s="10"/>
      <c r="B489" s="3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3"/>
      <c r="P489" s="10"/>
    </row>
    <row r="490" spans="1:16" x14ac:dyDescent="0.15">
      <c r="A490" s="10"/>
      <c r="B490" s="3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3"/>
      <c r="P490" s="10"/>
    </row>
    <row r="491" spans="1:16" x14ac:dyDescent="0.15">
      <c r="A491" s="10"/>
      <c r="B491" s="3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3"/>
      <c r="P491" s="10"/>
    </row>
    <row r="492" spans="1:16" x14ac:dyDescent="0.15">
      <c r="A492" s="10"/>
      <c r="B492" s="3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3"/>
      <c r="P492" s="10"/>
    </row>
    <row r="493" spans="1:16" x14ac:dyDescent="0.15">
      <c r="A493" s="10"/>
      <c r="B493" s="3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3"/>
      <c r="P493" s="10"/>
    </row>
    <row r="494" spans="1:16" x14ac:dyDescent="0.15">
      <c r="A494" s="10"/>
      <c r="B494" s="3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3"/>
      <c r="P494" s="10"/>
    </row>
    <row r="495" spans="1:16" x14ac:dyDescent="0.15">
      <c r="A495" s="10"/>
      <c r="B495" s="3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3"/>
      <c r="P495" s="10"/>
    </row>
    <row r="496" spans="1:16" x14ac:dyDescent="0.15">
      <c r="A496" s="10"/>
      <c r="B496" s="3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3"/>
      <c r="P496" s="10"/>
    </row>
    <row r="497" spans="1:16" x14ac:dyDescent="0.15">
      <c r="A497" s="10"/>
      <c r="B497" s="3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3"/>
      <c r="P497" s="10"/>
    </row>
    <row r="498" spans="1:16" x14ac:dyDescent="0.15">
      <c r="A498" s="10"/>
      <c r="B498" s="3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3"/>
      <c r="P498" s="10"/>
    </row>
    <row r="499" spans="1:16" x14ac:dyDescent="0.15">
      <c r="A499" s="10"/>
      <c r="B499" s="3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3"/>
      <c r="P499" s="10"/>
    </row>
    <row r="500" spans="1:16" x14ac:dyDescent="0.15">
      <c r="A500" s="10"/>
      <c r="B500" s="3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3"/>
      <c r="P500" s="10"/>
    </row>
    <row r="501" spans="1:16" x14ac:dyDescent="0.15">
      <c r="A501" s="10"/>
      <c r="B501" s="3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3"/>
      <c r="P501" s="10"/>
    </row>
    <row r="502" spans="1:16" x14ac:dyDescent="0.15">
      <c r="A502" s="10"/>
      <c r="B502" s="3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3"/>
      <c r="P502" s="10"/>
    </row>
    <row r="503" spans="1:16" x14ac:dyDescent="0.15">
      <c r="A503" s="10"/>
      <c r="B503" s="3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3"/>
      <c r="P503" s="10"/>
    </row>
    <row r="504" spans="1:16" x14ac:dyDescent="0.15">
      <c r="A504" s="10"/>
      <c r="B504" s="3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3"/>
      <c r="P504" s="10"/>
    </row>
    <row r="505" spans="1:16" x14ac:dyDescent="0.15">
      <c r="A505" s="10"/>
      <c r="B505" s="3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3"/>
      <c r="P505" s="10"/>
    </row>
    <row r="506" spans="1:16" x14ac:dyDescent="0.15">
      <c r="A506" s="10"/>
      <c r="B506" s="3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3"/>
      <c r="P506" s="10"/>
    </row>
    <row r="507" spans="1:16" x14ac:dyDescent="0.15">
      <c r="A507" s="10"/>
      <c r="B507" s="3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3"/>
      <c r="P507" s="10"/>
    </row>
    <row r="508" spans="1:16" x14ac:dyDescent="0.15">
      <c r="A508" s="10"/>
      <c r="B508" s="3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3"/>
      <c r="P508" s="10"/>
    </row>
    <row r="509" spans="1:16" x14ac:dyDescent="0.15">
      <c r="A509" s="10"/>
      <c r="B509" s="3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3"/>
      <c r="P509" s="10"/>
    </row>
    <row r="510" spans="1:16" x14ac:dyDescent="0.15">
      <c r="A510" s="10"/>
      <c r="B510" s="3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3"/>
      <c r="P510" s="10"/>
    </row>
    <row r="511" spans="1:16" x14ac:dyDescent="0.15">
      <c r="A511" s="10"/>
      <c r="B511" s="3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3"/>
      <c r="P511" s="10"/>
    </row>
    <row r="512" spans="1:16" x14ac:dyDescent="0.15">
      <c r="A512" s="10"/>
      <c r="B512" s="3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3"/>
      <c r="P512" s="10"/>
    </row>
    <row r="513" spans="1:16" x14ac:dyDescent="0.15">
      <c r="A513" s="10"/>
      <c r="B513" s="3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3"/>
      <c r="P513" s="10"/>
    </row>
    <row r="514" spans="1:16" x14ac:dyDescent="0.15">
      <c r="A514" s="10"/>
      <c r="B514" s="3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3"/>
      <c r="P514" s="10"/>
    </row>
    <row r="515" spans="1:16" x14ac:dyDescent="0.15">
      <c r="A515" s="10"/>
      <c r="B515" s="3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3"/>
      <c r="P515" s="10"/>
    </row>
    <row r="516" spans="1:16" x14ac:dyDescent="0.15">
      <c r="A516" s="10"/>
      <c r="B516" s="3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3"/>
      <c r="P516" s="10"/>
    </row>
    <row r="517" spans="1:16" x14ac:dyDescent="0.15">
      <c r="A517" s="10"/>
      <c r="B517" s="3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3"/>
      <c r="P517" s="10"/>
    </row>
    <row r="518" spans="1:16" x14ac:dyDescent="0.15">
      <c r="A518" s="10"/>
      <c r="B518" s="3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3"/>
      <c r="P518" s="10"/>
    </row>
    <row r="519" spans="1:16" x14ac:dyDescent="0.15">
      <c r="A519" s="10"/>
      <c r="B519" s="3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3"/>
      <c r="P519" s="10"/>
    </row>
    <row r="520" spans="1:16" x14ac:dyDescent="0.15">
      <c r="A520" s="10"/>
      <c r="B520" s="3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3"/>
      <c r="P520" s="10"/>
    </row>
    <row r="521" spans="1:16" x14ac:dyDescent="0.15">
      <c r="A521" s="10"/>
      <c r="B521" s="3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3"/>
      <c r="P521" s="10"/>
    </row>
    <row r="522" spans="1:16" x14ac:dyDescent="0.15">
      <c r="A522" s="10"/>
      <c r="B522" s="3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3"/>
      <c r="P522" s="10"/>
    </row>
    <row r="523" spans="1:16" x14ac:dyDescent="0.15">
      <c r="A523" s="10"/>
      <c r="B523" s="3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3"/>
      <c r="P523" s="10"/>
    </row>
    <row r="524" spans="1:16" x14ac:dyDescent="0.15">
      <c r="A524" s="10"/>
      <c r="B524" s="3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3"/>
      <c r="P524" s="10"/>
    </row>
    <row r="525" spans="1:16" x14ac:dyDescent="0.15">
      <c r="A525" s="10"/>
      <c r="B525" s="3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3"/>
      <c r="P525" s="10"/>
    </row>
    <row r="526" spans="1:16" x14ac:dyDescent="0.15">
      <c r="A526" s="10"/>
      <c r="B526" s="3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3"/>
      <c r="P526" s="10"/>
    </row>
    <row r="527" spans="1:16" x14ac:dyDescent="0.15">
      <c r="A527" s="10"/>
      <c r="B527" s="3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3"/>
      <c r="P527" s="10"/>
    </row>
    <row r="528" spans="1:16" x14ac:dyDescent="0.15">
      <c r="A528" s="10"/>
      <c r="B528" s="3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3"/>
      <c r="P528" s="10"/>
    </row>
    <row r="529" spans="1:16" x14ac:dyDescent="0.15">
      <c r="A529" s="10"/>
      <c r="B529" s="3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3"/>
      <c r="P529" s="10"/>
    </row>
    <row r="530" spans="1:16" x14ac:dyDescent="0.15">
      <c r="A530" s="10"/>
      <c r="B530" s="3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3"/>
      <c r="P530" s="10"/>
    </row>
    <row r="531" spans="1:16" x14ac:dyDescent="0.15">
      <c r="A531" s="10"/>
      <c r="B531" s="3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3"/>
      <c r="P531" s="10"/>
    </row>
    <row r="532" spans="1:16" x14ac:dyDescent="0.15">
      <c r="A532" s="10"/>
      <c r="B532" s="3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3"/>
      <c r="P532" s="10"/>
    </row>
    <row r="533" spans="1:16" x14ac:dyDescent="0.15">
      <c r="A533" s="10"/>
      <c r="B533" s="3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3"/>
      <c r="P533" s="10"/>
    </row>
    <row r="534" spans="1:16" x14ac:dyDescent="0.15">
      <c r="A534" s="10"/>
      <c r="B534" s="3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3"/>
      <c r="P534" s="10"/>
    </row>
    <row r="535" spans="1:16" x14ac:dyDescent="0.15">
      <c r="A535" s="10"/>
      <c r="B535" s="3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3"/>
      <c r="P535" s="10"/>
    </row>
    <row r="536" spans="1:16" x14ac:dyDescent="0.15">
      <c r="A536" s="10"/>
      <c r="B536" s="3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3"/>
      <c r="P536" s="10"/>
    </row>
    <row r="537" spans="1:16" x14ac:dyDescent="0.15">
      <c r="A537" s="10"/>
      <c r="B537" s="3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3"/>
      <c r="P537" s="10"/>
    </row>
    <row r="538" spans="1:16" x14ac:dyDescent="0.15">
      <c r="A538" s="10"/>
      <c r="B538" s="3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3"/>
      <c r="P538" s="10"/>
    </row>
    <row r="539" spans="1:16" x14ac:dyDescent="0.15">
      <c r="A539" s="10"/>
      <c r="B539" s="3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3"/>
      <c r="P539" s="10"/>
    </row>
    <row r="540" spans="1:16" x14ac:dyDescent="0.15">
      <c r="A540" s="10"/>
      <c r="B540" s="3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3"/>
      <c r="P540" s="10"/>
    </row>
    <row r="541" spans="1:16" x14ac:dyDescent="0.15">
      <c r="A541" s="10"/>
      <c r="B541" s="3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3"/>
      <c r="P541" s="10"/>
    </row>
    <row r="542" spans="1:16" x14ac:dyDescent="0.15">
      <c r="A542" s="10"/>
      <c r="B542" s="3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3"/>
      <c r="P542" s="10"/>
    </row>
    <row r="543" spans="1:16" x14ac:dyDescent="0.15">
      <c r="A543" s="10"/>
      <c r="B543" s="3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3"/>
      <c r="P543" s="10"/>
    </row>
    <row r="544" spans="1:16" x14ac:dyDescent="0.15">
      <c r="A544" s="10"/>
      <c r="B544" s="3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3"/>
      <c r="P544" s="10"/>
    </row>
    <row r="545" spans="1:16" x14ac:dyDescent="0.15">
      <c r="A545" s="10"/>
      <c r="B545" s="3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3"/>
      <c r="P545" s="10"/>
    </row>
    <row r="546" spans="1:16" x14ac:dyDescent="0.15">
      <c r="A546" s="10"/>
      <c r="B546" s="3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3"/>
      <c r="P546" s="10"/>
    </row>
    <row r="547" spans="1:16" x14ac:dyDescent="0.15">
      <c r="A547" s="10"/>
      <c r="B547" s="3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3"/>
      <c r="P547" s="10"/>
    </row>
    <row r="548" spans="1:16" x14ac:dyDescent="0.15">
      <c r="A548" s="10"/>
      <c r="B548" s="3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3"/>
      <c r="P548" s="10"/>
    </row>
    <row r="549" spans="1:16" x14ac:dyDescent="0.15">
      <c r="A549" s="10"/>
      <c r="B549" s="3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3"/>
      <c r="P549" s="10"/>
    </row>
    <row r="550" spans="1:16" x14ac:dyDescent="0.15">
      <c r="A550" s="10"/>
      <c r="B550" s="3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3"/>
      <c r="P550" s="10"/>
    </row>
    <row r="551" spans="1:16" x14ac:dyDescent="0.15">
      <c r="A551" s="10"/>
      <c r="B551" s="3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3"/>
      <c r="P551" s="10"/>
    </row>
    <row r="552" spans="1:16" x14ac:dyDescent="0.15">
      <c r="A552" s="10"/>
      <c r="B552" s="3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3"/>
      <c r="P552" s="10"/>
    </row>
    <row r="553" spans="1:16" x14ac:dyDescent="0.15">
      <c r="A553" s="10"/>
      <c r="B553" s="3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3"/>
      <c r="P553" s="10"/>
    </row>
    <row r="554" spans="1:16" x14ac:dyDescent="0.15">
      <c r="A554" s="10"/>
      <c r="B554" s="3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3"/>
      <c r="P554" s="10"/>
    </row>
    <row r="555" spans="1:16" x14ac:dyDescent="0.15">
      <c r="A555" s="10"/>
      <c r="B555" s="3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3"/>
      <c r="P555" s="10"/>
    </row>
    <row r="556" spans="1:16" x14ac:dyDescent="0.15">
      <c r="A556" s="10"/>
      <c r="B556" s="3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3"/>
      <c r="P556" s="10"/>
    </row>
    <row r="557" spans="1:16" x14ac:dyDescent="0.15">
      <c r="A557" s="10"/>
      <c r="B557" s="3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3"/>
      <c r="P557" s="10"/>
    </row>
    <row r="558" spans="1:16" x14ac:dyDescent="0.15">
      <c r="A558" s="10"/>
      <c r="B558" s="3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3"/>
      <c r="P558" s="10"/>
    </row>
    <row r="559" spans="1:16" x14ac:dyDescent="0.15">
      <c r="A559" s="10"/>
      <c r="B559" s="3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3"/>
      <c r="P559" s="10"/>
    </row>
    <row r="560" spans="1:16" x14ac:dyDescent="0.15">
      <c r="A560" s="10"/>
      <c r="B560" s="3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3"/>
      <c r="P560" s="10"/>
    </row>
    <row r="561" spans="1:16" x14ac:dyDescent="0.15">
      <c r="A561" s="10"/>
      <c r="B561" s="3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3"/>
      <c r="P561" s="10"/>
    </row>
    <row r="562" spans="1:16" x14ac:dyDescent="0.15">
      <c r="A562" s="10"/>
      <c r="B562" s="3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3"/>
      <c r="P562" s="10"/>
    </row>
    <row r="563" spans="1:16" x14ac:dyDescent="0.15">
      <c r="A563" s="10"/>
      <c r="B563" s="3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3"/>
      <c r="P563" s="10"/>
    </row>
    <row r="564" spans="1:16" x14ac:dyDescent="0.15">
      <c r="A564" s="10"/>
      <c r="B564" s="3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3"/>
      <c r="P564" s="10"/>
    </row>
    <row r="565" spans="1:16" x14ac:dyDescent="0.15">
      <c r="A565" s="10"/>
      <c r="B565" s="3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3"/>
      <c r="P565" s="10"/>
    </row>
    <row r="566" spans="1:16" x14ac:dyDescent="0.15">
      <c r="A566" s="10"/>
      <c r="B566" s="3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3"/>
      <c r="P566" s="10"/>
    </row>
    <row r="567" spans="1:16" x14ac:dyDescent="0.15">
      <c r="A567" s="10"/>
      <c r="B567" s="3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3"/>
      <c r="P567" s="10"/>
    </row>
    <row r="568" spans="1:16" x14ac:dyDescent="0.15">
      <c r="A568" s="10"/>
      <c r="B568" s="3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3"/>
      <c r="P568" s="10"/>
    </row>
    <row r="569" spans="1:16" x14ac:dyDescent="0.15">
      <c r="A569" s="10"/>
      <c r="B569" s="3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3"/>
      <c r="P569" s="10"/>
    </row>
    <row r="570" spans="1:16" x14ac:dyDescent="0.15">
      <c r="A570" s="10"/>
      <c r="B570" s="3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3"/>
      <c r="P570" s="10"/>
    </row>
    <row r="571" spans="1:16" x14ac:dyDescent="0.15">
      <c r="A571" s="10"/>
      <c r="B571" s="3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3"/>
      <c r="P571" s="10"/>
    </row>
    <row r="572" spans="1:16" x14ac:dyDescent="0.15">
      <c r="A572" s="10"/>
      <c r="B572" s="3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3"/>
      <c r="P572" s="10"/>
    </row>
    <row r="573" spans="1:16" x14ac:dyDescent="0.15">
      <c r="A573" s="10"/>
      <c r="B573" s="3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3"/>
      <c r="P573" s="10"/>
    </row>
    <row r="574" spans="1:16" x14ac:dyDescent="0.15">
      <c r="A574" s="10"/>
      <c r="B574" s="3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3"/>
      <c r="P574" s="10"/>
    </row>
    <row r="575" spans="1:16" x14ac:dyDescent="0.15">
      <c r="A575" s="10"/>
      <c r="B575" s="3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3"/>
      <c r="P575" s="10"/>
    </row>
    <row r="576" spans="1:16" x14ac:dyDescent="0.15">
      <c r="A576" s="10"/>
      <c r="B576" s="3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3"/>
      <c r="P576" s="10"/>
    </row>
    <row r="577" spans="1:16" x14ac:dyDescent="0.15">
      <c r="A577" s="10"/>
      <c r="B577" s="3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3"/>
      <c r="P577" s="10"/>
    </row>
    <row r="578" spans="1:16" x14ac:dyDescent="0.15">
      <c r="A578" s="10"/>
      <c r="B578" s="3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3"/>
      <c r="P578" s="10"/>
    </row>
    <row r="579" spans="1:16" x14ac:dyDescent="0.15">
      <c r="A579" s="10"/>
      <c r="B579" s="3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3"/>
      <c r="P579" s="10"/>
    </row>
    <row r="580" spans="1:16" x14ac:dyDescent="0.15">
      <c r="A580" s="10"/>
      <c r="B580" s="3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3"/>
      <c r="P580" s="10"/>
    </row>
    <row r="581" spans="1:16" x14ac:dyDescent="0.15">
      <c r="A581" s="10"/>
      <c r="B581" s="3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3"/>
      <c r="P581" s="10"/>
    </row>
    <row r="582" spans="1:16" x14ac:dyDescent="0.15">
      <c r="A582" s="10"/>
      <c r="B582" s="3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3"/>
      <c r="P582" s="10"/>
    </row>
    <row r="583" spans="1:16" x14ac:dyDescent="0.15">
      <c r="A583" s="10"/>
      <c r="B583" s="3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3"/>
      <c r="P583" s="10"/>
    </row>
    <row r="584" spans="1:16" x14ac:dyDescent="0.15">
      <c r="A584" s="10"/>
      <c r="B584" s="3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3"/>
      <c r="P584" s="10"/>
    </row>
    <row r="585" spans="1:16" x14ac:dyDescent="0.15">
      <c r="A585" s="10"/>
      <c r="B585" s="3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3"/>
      <c r="P585" s="10"/>
    </row>
    <row r="586" spans="1:16" x14ac:dyDescent="0.15">
      <c r="A586" s="10"/>
      <c r="B586" s="3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3"/>
      <c r="P586" s="10"/>
    </row>
    <row r="587" spans="1:16" x14ac:dyDescent="0.15">
      <c r="A587" s="10"/>
      <c r="B587" s="3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3"/>
      <c r="P587" s="10"/>
    </row>
    <row r="588" spans="1:16" x14ac:dyDescent="0.15">
      <c r="A588" s="10"/>
      <c r="B588" s="3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3"/>
      <c r="P588" s="10"/>
    </row>
    <row r="589" spans="1:16" x14ac:dyDescent="0.15">
      <c r="A589" s="10"/>
      <c r="B589" s="3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3"/>
      <c r="P589" s="10"/>
    </row>
    <row r="590" spans="1:16" x14ac:dyDescent="0.15">
      <c r="A590" s="10"/>
      <c r="B590" s="3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3"/>
      <c r="P590" s="10"/>
    </row>
    <row r="591" spans="1:16" x14ac:dyDescent="0.15">
      <c r="A591" s="10"/>
      <c r="B591" s="3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3"/>
      <c r="P591" s="10"/>
    </row>
    <row r="592" spans="1:16" x14ac:dyDescent="0.15">
      <c r="A592" s="10"/>
      <c r="B592" s="3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3"/>
      <c r="P592" s="10"/>
    </row>
    <row r="593" spans="1:16" x14ac:dyDescent="0.15">
      <c r="A593" s="10"/>
      <c r="B593" s="3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3"/>
      <c r="P593" s="10"/>
    </row>
    <row r="594" spans="1:16" x14ac:dyDescent="0.15">
      <c r="A594" s="10"/>
      <c r="B594" s="3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3"/>
      <c r="P594" s="10"/>
    </row>
    <row r="595" spans="1:16" x14ac:dyDescent="0.15">
      <c r="A595" s="10"/>
      <c r="B595" s="3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3"/>
      <c r="P595" s="10"/>
    </row>
    <row r="596" spans="1:16" x14ac:dyDescent="0.15">
      <c r="A596" s="10"/>
      <c r="B596" s="3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3"/>
      <c r="P596" s="10"/>
    </row>
    <row r="597" spans="1:16" x14ac:dyDescent="0.15">
      <c r="A597" s="10"/>
      <c r="B597" s="3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3"/>
      <c r="P597" s="10"/>
    </row>
    <row r="598" spans="1:16" x14ac:dyDescent="0.15">
      <c r="A598" s="10"/>
      <c r="B598" s="3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3"/>
      <c r="P598" s="10"/>
    </row>
    <row r="599" spans="1:16" x14ac:dyDescent="0.15">
      <c r="A599" s="10"/>
      <c r="B599" s="3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3"/>
      <c r="P599" s="10"/>
    </row>
    <row r="600" spans="1:16" x14ac:dyDescent="0.15">
      <c r="A600" s="10"/>
      <c r="B600" s="3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3"/>
      <c r="P600" s="10"/>
    </row>
    <row r="601" spans="1:16" x14ac:dyDescent="0.15">
      <c r="A601" s="10"/>
      <c r="B601" s="3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3"/>
      <c r="P601" s="10"/>
    </row>
    <row r="602" spans="1:16" x14ac:dyDescent="0.15">
      <c r="A602" s="10"/>
      <c r="B602" s="3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3"/>
      <c r="P602" s="10"/>
    </row>
    <row r="603" spans="1:16" x14ac:dyDescent="0.15">
      <c r="A603" s="10"/>
      <c r="B603" s="3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3"/>
      <c r="P603" s="10"/>
    </row>
    <row r="604" spans="1:16" x14ac:dyDescent="0.15">
      <c r="A604" s="10"/>
      <c r="B604" s="3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3"/>
      <c r="P604" s="10"/>
    </row>
    <row r="605" spans="1:16" x14ac:dyDescent="0.15">
      <c r="A605" s="10"/>
      <c r="B605" s="3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3"/>
      <c r="P605" s="10"/>
    </row>
    <row r="606" spans="1:16" x14ac:dyDescent="0.15">
      <c r="A606" s="10"/>
      <c r="B606" s="3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3"/>
      <c r="P606" s="10"/>
    </row>
    <row r="607" spans="1:16" x14ac:dyDescent="0.15">
      <c r="A607" s="10"/>
      <c r="B607" s="3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3"/>
      <c r="P607" s="10"/>
    </row>
    <row r="608" spans="1:16" x14ac:dyDescent="0.15">
      <c r="A608" s="10"/>
      <c r="B608" s="3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3"/>
      <c r="P608" s="10"/>
    </row>
    <row r="609" spans="1:16" x14ac:dyDescent="0.15">
      <c r="A609" s="10"/>
      <c r="B609" s="3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3"/>
      <c r="P609" s="10"/>
    </row>
    <row r="610" spans="1:16" x14ac:dyDescent="0.15">
      <c r="A610" s="10"/>
      <c r="B610" s="3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3"/>
      <c r="P610" s="10"/>
    </row>
    <row r="611" spans="1:16" x14ac:dyDescent="0.15">
      <c r="A611" s="10"/>
      <c r="B611" s="3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3"/>
      <c r="P611" s="10"/>
    </row>
    <row r="612" spans="1:16" x14ac:dyDescent="0.15">
      <c r="A612" s="10"/>
      <c r="B612" s="3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3"/>
      <c r="P612" s="10"/>
    </row>
    <row r="613" spans="1:16" x14ac:dyDescent="0.15">
      <c r="A613" s="10"/>
      <c r="B613" s="3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3"/>
      <c r="P613" s="10"/>
    </row>
    <row r="614" spans="1:16" x14ac:dyDescent="0.15">
      <c r="A614" s="10"/>
      <c r="B614" s="3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3"/>
      <c r="P614" s="10"/>
    </row>
    <row r="615" spans="1:16" x14ac:dyDescent="0.15">
      <c r="A615" s="10"/>
      <c r="B615" s="3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3"/>
      <c r="P615" s="10"/>
    </row>
    <row r="616" spans="1:16" x14ac:dyDescent="0.15">
      <c r="A616" s="10"/>
      <c r="B616" s="3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3"/>
      <c r="P616" s="10"/>
    </row>
    <row r="617" spans="1:16" x14ac:dyDescent="0.15">
      <c r="A617" s="10"/>
      <c r="B617" s="3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3"/>
      <c r="P617" s="10"/>
    </row>
    <row r="618" spans="1:16" x14ac:dyDescent="0.15">
      <c r="A618" s="10"/>
      <c r="B618" s="3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3"/>
      <c r="P618" s="10"/>
    </row>
    <row r="619" spans="1:16" x14ac:dyDescent="0.15">
      <c r="A619" s="10"/>
      <c r="B619" s="3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3"/>
      <c r="P619" s="10"/>
    </row>
    <row r="620" spans="1:16" x14ac:dyDescent="0.15">
      <c r="A620" s="10"/>
      <c r="B620" s="3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3"/>
      <c r="P620" s="10"/>
    </row>
    <row r="621" spans="1:16" x14ac:dyDescent="0.15">
      <c r="A621" s="10"/>
      <c r="B621" s="3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3"/>
      <c r="P621" s="10"/>
    </row>
    <row r="622" spans="1:16" x14ac:dyDescent="0.15">
      <c r="A622" s="10"/>
      <c r="B622" s="3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3"/>
      <c r="P622" s="10"/>
    </row>
    <row r="623" spans="1:16" x14ac:dyDescent="0.15">
      <c r="A623" s="10"/>
      <c r="B623" s="3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3"/>
      <c r="P623" s="10"/>
    </row>
    <row r="624" spans="1:16" x14ac:dyDescent="0.15">
      <c r="A624" s="10"/>
      <c r="B624" s="3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3"/>
      <c r="P624" s="10"/>
    </row>
    <row r="625" spans="1:16" x14ac:dyDescent="0.15">
      <c r="A625" s="10"/>
      <c r="B625" s="3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3"/>
      <c r="P625" s="10"/>
    </row>
    <row r="626" spans="1:16" x14ac:dyDescent="0.15">
      <c r="A626" s="10"/>
      <c r="B626" s="3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3"/>
      <c r="P626" s="10"/>
    </row>
    <row r="627" spans="1:16" x14ac:dyDescent="0.15">
      <c r="A627" s="10"/>
      <c r="B627" s="3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3"/>
      <c r="P627" s="10"/>
    </row>
    <row r="628" spans="1:16" x14ac:dyDescent="0.15">
      <c r="A628" s="10"/>
      <c r="B628" s="3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3"/>
      <c r="P628" s="10"/>
    </row>
    <row r="629" spans="1:16" x14ac:dyDescent="0.15">
      <c r="A629" s="10"/>
      <c r="B629" s="3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3"/>
      <c r="P629" s="10"/>
    </row>
    <row r="630" spans="1:16" x14ac:dyDescent="0.15">
      <c r="A630" s="10"/>
      <c r="B630" s="3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3"/>
      <c r="P630" s="10"/>
    </row>
    <row r="631" spans="1:16" x14ac:dyDescent="0.15">
      <c r="A631" s="10"/>
      <c r="B631" s="3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3"/>
      <c r="P631" s="10"/>
    </row>
    <row r="632" spans="1:16" x14ac:dyDescent="0.15">
      <c r="A632" s="10"/>
      <c r="B632" s="3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3"/>
      <c r="P632" s="10"/>
    </row>
    <row r="633" spans="1:16" x14ac:dyDescent="0.15">
      <c r="A633" s="10"/>
      <c r="B633" s="3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3"/>
      <c r="P633" s="10"/>
    </row>
    <row r="634" spans="1:16" x14ac:dyDescent="0.15">
      <c r="A634" s="10"/>
      <c r="B634" s="3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3"/>
      <c r="P634" s="10"/>
    </row>
    <row r="635" spans="1:16" x14ac:dyDescent="0.15">
      <c r="A635" s="10"/>
      <c r="B635" s="3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3"/>
      <c r="P635" s="10"/>
    </row>
    <row r="636" spans="1:16" x14ac:dyDescent="0.15">
      <c r="A636" s="10"/>
      <c r="B636" s="3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3"/>
      <c r="P636" s="10"/>
    </row>
    <row r="637" spans="1:16" x14ac:dyDescent="0.15">
      <c r="A637" s="10"/>
      <c r="B637" s="3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3"/>
      <c r="P637" s="10"/>
    </row>
    <row r="638" spans="1:16" x14ac:dyDescent="0.15">
      <c r="A638" s="10"/>
      <c r="B638" s="3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3"/>
      <c r="P638" s="10"/>
    </row>
    <row r="639" spans="1:16" x14ac:dyDescent="0.15">
      <c r="A639" s="10"/>
      <c r="B639" s="3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3"/>
      <c r="P639" s="10"/>
    </row>
    <row r="640" spans="1:16" x14ac:dyDescent="0.15">
      <c r="A640" s="10"/>
      <c r="B640" s="3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3"/>
      <c r="P640" s="10"/>
    </row>
    <row r="641" spans="1:16" x14ac:dyDescent="0.15">
      <c r="A641" s="10"/>
      <c r="B641" s="3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3"/>
      <c r="P641" s="10"/>
    </row>
    <row r="642" spans="1:16" x14ac:dyDescent="0.15">
      <c r="A642" s="10"/>
      <c r="B642" s="3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3"/>
      <c r="P642" s="10"/>
    </row>
    <row r="643" spans="1:16" x14ac:dyDescent="0.15">
      <c r="A643" s="10"/>
      <c r="B643" s="3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3"/>
      <c r="P643" s="10"/>
    </row>
    <row r="644" spans="1:16" x14ac:dyDescent="0.15">
      <c r="A644" s="10"/>
      <c r="B644" s="3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3"/>
      <c r="P644" s="10"/>
    </row>
    <row r="645" spans="1:16" x14ac:dyDescent="0.15">
      <c r="A645" s="10"/>
      <c r="B645" s="3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3"/>
      <c r="P645" s="10"/>
    </row>
    <row r="646" spans="1:16" x14ac:dyDescent="0.15">
      <c r="A646" s="10"/>
      <c r="B646" s="3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3"/>
      <c r="P646" s="10"/>
    </row>
    <row r="647" spans="1:16" x14ac:dyDescent="0.15">
      <c r="A647" s="10"/>
      <c r="B647" s="3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3"/>
      <c r="P647" s="10"/>
    </row>
    <row r="648" spans="1:16" x14ac:dyDescent="0.15">
      <c r="A648" s="10"/>
      <c r="B648" s="3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3"/>
      <c r="P648" s="10"/>
    </row>
    <row r="649" spans="1:16" x14ac:dyDescent="0.15">
      <c r="A649" s="10"/>
      <c r="B649" s="3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3"/>
      <c r="P649" s="10"/>
    </row>
    <row r="650" spans="1:16" x14ac:dyDescent="0.15">
      <c r="A650" s="10"/>
      <c r="B650" s="3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3"/>
      <c r="P650" s="10"/>
    </row>
    <row r="651" spans="1:16" x14ac:dyDescent="0.15">
      <c r="A651" s="10"/>
      <c r="B651" s="3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3"/>
      <c r="P651" s="10"/>
    </row>
    <row r="652" spans="1:16" x14ac:dyDescent="0.15">
      <c r="A652" s="10"/>
      <c r="B652" s="3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3"/>
      <c r="P652" s="10"/>
    </row>
    <row r="653" spans="1:16" x14ac:dyDescent="0.15">
      <c r="A653" s="10"/>
      <c r="B653" s="3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3"/>
      <c r="P653" s="10"/>
    </row>
    <row r="654" spans="1:16" x14ac:dyDescent="0.15">
      <c r="A654" s="10"/>
      <c r="B654" s="3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3"/>
      <c r="P654" s="10"/>
    </row>
    <row r="655" spans="1:16" x14ac:dyDescent="0.15">
      <c r="A655" s="10"/>
      <c r="B655" s="3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3"/>
      <c r="P655" s="10"/>
    </row>
    <row r="656" spans="1:16" x14ac:dyDescent="0.15">
      <c r="A656" s="10"/>
      <c r="B656" s="3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3"/>
      <c r="P656" s="10"/>
    </row>
    <row r="657" spans="1:16" x14ac:dyDescent="0.15">
      <c r="A657" s="10"/>
      <c r="B657" s="3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3"/>
      <c r="P657" s="10"/>
    </row>
    <row r="658" spans="1:16" x14ac:dyDescent="0.15">
      <c r="A658" s="10"/>
      <c r="B658" s="3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3"/>
      <c r="P658" s="10"/>
    </row>
    <row r="659" spans="1:16" x14ac:dyDescent="0.15">
      <c r="A659" s="10"/>
      <c r="B659" s="3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3"/>
      <c r="P659" s="10"/>
    </row>
    <row r="660" spans="1:16" x14ac:dyDescent="0.15">
      <c r="A660" s="10"/>
      <c r="B660" s="3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3"/>
      <c r="P660" s="10"/>
    </row>
    <row r="661" spans="1:16" x14ac:dyDescent="0.15">
      <c r="A661" s="10"/>
      <c r="B661" s="3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3"/>
      <c r="P661" s="10"/>
    </row>
    <row r="662" spans="1:16" x14ac:dyDescent="0.15">
      <c r="A662" s="10"/>
      <c r="B662" s="3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3"/>
      <c r="P662" s="10"/>
    </row>
    <row r="663" spans="1:16" x14ac:dyDescent="0.15">
      <c r="A663" s="10"/>
      <c r="B663" s="3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3"/>
      <c r="P663" s="10"/>
    </row>
    <row r="664" spans="1:16" x14ac:dyDescent="0.15">
      <c r="A664" s="10"/>
      <c r="B664" s="3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3"/>
      <c r="P664" s="10"/>
    </row>
    <row r="665" spans="1:16" x14ac:dyDescent="0.15">
      <c r="A665" s="10"/>
      <c r="B665" s="3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3"/>
      <c r="P665" s="10"/>
    </row>
    <row r="666" spans="1:16" x14ac:dyDescent="0.15">
      <c r="A666" s="10"/>
      <c r="B666" s="3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3"/>
      <c r="P666" s="10"/>
    </row>
    <row r="667" spans="1:16" x14ac:dyDescent="0.15">
      <c r="A667" s="10"/>
      <c r="B667" s="3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3"/>
      <c r="P667" s="10"/>
    </row>
    <row r="668" spans="1:16" x14ac:dyDescent="0.15">
      <c r="A668" s="10"/>
      <c r="B668" s="3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3"/>
      <c r="P668" s="10"/>
    </row>
    <row r="669" spans="1:16" x14ac:dyDescent="0.15">
      <c r="A669" s="10"/>
      <c r="B669" s="3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3"/>
      <c r="P669" s="10"/>
    </row>
    <row r="670" spans="1:16" x14ac:dyDescent="0.15">
      <c r="A670" s="10"/>
      <c r="B670" s="3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3"/>
      <c r="P670" s="10"/>
    </row>
    <row r="671" spans="1:16" x14ac:dyDescent="0.15">
      <c r="A671" s="10"/>
      <c r="B671" s="3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3"/>
      <c r="P671" s="10"/>
    </row>
    <row r="672" spans="1:16" x14ac:dyDescent="0.15">
      <c r="A672" s="10"/>
      <c r="B672" s="3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3"/>
      <c r="P672" s="10"/>
    </row>
    <row r="673" spans="1:16" x14ac:dyDescent="0.15">
      <c r="A673" s="10"/>
      <c r="B673" s="3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3"/>
      <c r="P673" s="10"/>
    </row>
    <row r="674" spans="1:16" x14ac:dyDescent="0.15">
      <c r="A674" s="10"/>
      <c r="B674" s="3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3"/>
      <c r="P674" s="10"/>
    </row>
    <row r="675" spans="1:16" x14ac:dyDescent="0.15">
      <c r="A675" s="10"/>
      <c r="B675" s="3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3"/>
      <c r="P675" s="10"/>
    </row>
    <row r="676" spans="1:16" x14ac:dyDescent="0.15">
      <c r="A676" s="10"/>
      <c r="B676" s="3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3"/>
      <c r="P676" s="10"/>
    </row>
    <row r="677" spans="1:16" x14ac:dyDescent="0.15">
      <c r="A677" s="10"/>
      <c r="B677" s="3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3"/>
      <c r="P677" s="10"/>
    </row>
    <row r="678" spans="1:16" x14ac:dyDescent="0.15">
      <c r="A678" s="10"/>
      <c r="B678" s="3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3"/>
      <c r="P678" s="10"/>
    </row>
    <row r="679" spans="1:16" x14ac:dyDescent="0.15">
      <c r="A679" s="10"/>
      <c r="B679" s="3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3"/>
      <c r="P679" s="10"/>
    </row>
    <row r="680" spans="1:16" x14ac:dyDescent="0.15">
      <c r="A680" s="10"/>
      <c r="B680" s="3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3"/>
      <c r="P680" s="10"/>
    </row>
    <row r="681" spans="1:16" x14ac:dyDescent="0.15">
      <c r="A681" s="10"/>
      <c r="B681" s="3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3"/>
      <c r="P681" s="10"/>
    </row>
    <row r="682" spans="1:16" x14ac:dyDescent="0.15">
      <c r="A682" s="10"/>
      <c r="B682" s="3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3"/>
      <c r="P682" s="10"/>
    </row>
    <row r="683" spans="1:16" x14ac:dyDescent="0.15">
      <c r="A683" s="10"/>
      <c r="B683" s="3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3"/>
      <c r="P683" s="10"/>
    </row>
    <row r="684" spans="1:16" x14ac:dyDescent="0.15">
      <c r="A684" s="10"/>
      <c r="B684" s="3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3"/>
      <c r="P684" s="10"/>
    </row>
    <row r="685" spans="1:16" x14ac:dyDescent="0.15">
      <c r="A685" s="10"/>
      <c r="B685" s="3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3"/>
      <c r="P685" s="10"/>
    </row>
    <row r="686" spans="1:16" x14ac:dyDescent="0.15">
      <c r="A686" s="10"/>
      <c r="B686" s="3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3"/>
      <c r="P686" s="10"/>
    </row>
    <row r="687" spans="1:16" x14ac:dyDescent="0.15">
      <c r="A687" s="10"/>
      <c r="B687" s="3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3"/>
      <c r="P687" s="10"/>
    </row>
    <row r="688" spans="1:16" x14ac:dyDescent="0.15">
      <c r="A688" s="10"/>
      <c r="B688" s="3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3"/>
      <c r="P688" s="10"/>
    </row>
    <row r="689" spans="1:16" x14ac:dyDescent="0.15">
      <c r="A689" s="10"/>
      <c r="B689" s="3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3"/>
      <c r="P689" s="10"/>
    </row>
    <row r="690" spans="1:16" x14ac:dyDescent="0.15">
      <c r="A690" s="10"/>
      <c r="B690" s="3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3"/>
      <c r="P690" s="10"/>
    </row>
    <row r="691" spans="1:16" x14ac:dyDescent="0.15">
      <c r="A691" s="10"/>
      <c r="B691" s="3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3"/>
      <c r="P691" s="10"/>
    </row>
    <row r="692" spans="1:16" x14ac:dyDescent="0.15">
      <c r="A692" s="10"/>
      <c r="B692" s="3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3"/>
      <c r="P692" s="10"/>
    </row>
    <row r="693" spans="1:16" x14ac:dyDescent="0.15">
      <c r="A693" s="10"/>
      <c r="B693" s="3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3"/>
      <c r="P693" s="10"/>
    </row>
    <row r="694" spans="1:16" x14ac:dyDescent="0.15">
      <c r="A694" s="10"/>
      <c r="B694" s="3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3"/>
      <c r="P694" s="10"/>
    </row>
    <row r="695" spans="1:16" x14ac:dyDescent="0.15">
      <c r="A695" s="10"/>
      <c r="B695" s="3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3"/>
      <c r="P695" s="10"/>
    </row>
    <row r="696" spans="1:16" x14ac:dyDescent="0.15">
      <c r="A696" s="10"/>
      <c r="B696" s="3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3"/>
      <c r="P696" s="10"/>
    </row>
    <row r="697" spans="1:16" x14ac:dyDescent="0.15">
      <c r="A697" s="10"/>
      <c r="B697" s="3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3"/>
      <c r="P697" s="10"/>
    </row>
    <row r="698" spans="1:16" x14ac:dyDescent="0.15">
      <c r="A698" s="10"/>
      <c r="B698" s="3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3"/>
      <c r="P698" s="10"/>
    </row>
    <row r="699" spans="1:16" x14ac:dyDescent="0.15">
      <c r="A699" s="10"/>
      <c r="B699" s="3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3"/>
      <c r="P699" s="10"/>
    </row>
    <row r="700" spans="1:16" x14ac:dyDescent="0.15">
      <c r="A700" s="10"/>
      <c r="B700" s="3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3"/>
      <c r="P700" s="10"/>
    </row>
    <row r="701" spans="1:16" x14ac:dyDescent="0.15">
      <c r="A701" s="10"/>
      <c r="B701" s="3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3"/>
      <c r="P701" s="10"/>
    </row>
    <row r="702" spans="1:16" x14ac:dyDescent="0.15">
      <c r="A702" s="10"/>
      <c r="B702" s="3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3"/>
      <c r="P702" s="10"/>
    </row>
    <row r="703" spans="1:16" x14ac:dyDescent="0.15">
      <c r="A703" s="10"/>
      <c r="B703" s="3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3"/>
      <c r="P703" s="10"/>
    </row>
    <row r="704" spans="1:16" x14ac:dyDescent="0.15">
      <c r="A704" s="10"/>
      <c r="B704" s="3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3"/>
      <c r="P704" s="10"/>
    </row>
    <row r="705" spans="1:16" x14ac:dyDescent="0.15">
      <c r="A705" s="10"/>
      <c r="B705" s="3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3"/>
      <c r="P705" s="10"/>
    </row>
    <row r="706" spans="1:16" x14ac:dyDescent="0.15">
      <c r="A706" s="10"/>
      <c r="B706" s="3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3"/>
      <c r="P706" s="10"/>
    </row>
    <row r="707" spans="1:16" x14ac:dyDescent="0.15">
      <c r="A707" s="10"/>
      <c r="B707" s="3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3"/>
      <c r="P707" s="10"/>
    </row>
    <row r="708" spans="1:16" x14ac:dyDescent="0.15">
      <c r="A708" s="10"/>
      <c r="B708" s="3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3"/>
      <c r="P708" s="10"/>
    </row>
    <row r="709" spans="1:16" x14ac:dyDescent="0.15">
      <c r="A709" s="10"/>
      <c r="B709" s="3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3"/>
      <c r="P709" s="10"/>
    </row>
    <row r="710" spans="1:16" x14ac:dyDescent="0.15">
      <c r="A710" s="10"/>
      <c r="B710" s="3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3"/>
      <c r="P710" s="10"/>
    </row>
    <row r="711" spans="1:16" x14ac:dyDescent="0.15">
      <c r="A711" s="10"/>
      <c r="B711" s="3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3"/>
      <c r="P711" s="10"/>
    </row>
    <row r="712" spans="1:16" x14ac:dyDescent="0.15">
      <c r="A712" s="10"/>
      <c r="B712" s="3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3"/>
      <c r="P712" s="10"/>
    </row>
    <row r="713" spans="1:16" x14ac:dyDescent="0.15">
      <c r="A713" s="10"/>
      <c r="B713" s="3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3"/>
      <c r="P713" s="10"/>
    </row>
    <row r="714" spans="1:16" x14ac:dyDescent="0.15">
      <c r="A714" s="10"/>
      <c r="B714" s="3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3"/>
      <c r="P714" s="10"/>
    </row>
    <row r="715" spans="1:16" x14ac:dyDescent="0.15">
      <c r="A715" s="10"/>
      <c r="B715" s="3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3"/>
      <c r="P715" s="10"/>
    </row>
    <row r="716" spans="1:16" x14ac:dyDescent="0.15">
      <c r="A716" s="10"/>
      <c r="B716" s="3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3"/>
      <c r="P716" s="10"/>
    </row>
    <row r="717" spans="1:16" x14ac:dyDescent="0.15">
      <c r="A717" s="10"/>
      <c r="B717" s="3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3"/>
      <c r="P717" s="10"/>
    </row>
    <row r="718" spans="1:16" x14ac:dyDescent="0.15">
      <c r="A718" s="10"/>
      <c r="B718" s="3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3"/>
      <c r="P718" s="10"/>
    </row>
    <row r="719" spans="1:16" x14ac:dyDescent="0.15">
      <c r="A719" s="10"/>
      <c r="B719" s="3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3"/>
      <c r="P719" s="10"/>
    </row>
    <row r="720" spans="1:16" x14ac:dyDescent="0.15">
      <c r="A720" s="10"/>
      <c r="B720" s="3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3"/>
      <c r="P720" s="10"/>
    </row>
    <row r="721" spans="1:16" x14ac:dyDescent="0.15">
      <c r="A721" s="10"/>
      <c r="B721" s="3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3"/>
      <c r="P721" s="10"/>
    </row>
    <row r="722" spans="1:16" x14ac:dyDescent="0.15">
      <c r="A722" s="10"/>
      <c r="B722" s="3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3"/>
      <c r="P722" s="10"/>
    </row>
    <row r="723" spans="1:16" x14ac:dyDescent="0.15">
      <c r="A723" s="10"/>
      <c r="B723" s="3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3"/>
      <c r="P723" s="10"/>
    </row>
    <row r="724" spans="1:16" x14ac:dyDescent="0.15">
      <c r="A724" s="10"/>
      <c r="B724" s="3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3"/>
      <c r="P724" s="10"/>
    </row>
    <row r="725" spans="1:16" x14ac:dyDescent="0.15">
      <c r="A725" s="10"/>
      <c r="B725" s="3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3"/>
      <c r="P725" s="10"/>
    </row>
    <row r="726" spans="1:16" x14ac:dyDescent="0.15">
      <c r="A726" s="10"/>
      <c r="B726" s="3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3"/>
      <c r="P726" s="10"/>
    </row>
    <row r="727" spans="1:16" x14ac:dyDescent="0.15">
      <c r="A727" s="10"/>
      <c r="B727" s="3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3"/>
      <c r="P727" s="10"/>
    </row>
    <row r="728" spans="1:16" x14ac:dyDescent="0.15">
      <c r="A728" s="10"/>
      <c r="B728" s="3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3"/>
      <c r="P728" s="10"/>
    </row>
    <row r="729" spans="1:16" x14ac:dyDescent="0.15">
      <c r="A729" s="10"/>
      <c r="B729" s="3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3"/>
      <c r="P729" s="10"/>
    </row>
    <row r="730" spans="1:16" x14ac:dyDescent="0.15">
      <c r="A730" s="10"/>
      <c r="B730" s="3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3"/>
      <c r="P730" s="10"/>
    </row>
    <row r="731" spans="1:16" x14ac:dyDescent="0.15">
      <c r="A731" s="10"/>
      <c r="B731" s="3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3"/>
      <c r="P731" s="10"/>
    </row>
    <row r="732" spans="1:16" x14ac:dyDescent="0.15">
      <c r="A732" s="10"/>
      <c r="B732" s="3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3"/>
      <c r="P732" s="10"/>
    </row>
    <row r="733" spans="1:16" x14ac:dyDescent="0.15">
      <c r="A733" s="10"/>
      <c r="B733" s="3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3"/>
      <c r="P733" s="10"/>
    </row>
    <row r="734" spans="1:16" x14ac:dyDescent="0.15">
      <c r="A734" s="10"/>
      <c r="B734" s="3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3"/>
      <c r="P734" s="10"/>
    </row>
    <row r="735" spans="1:16" x14ac:dyDescent="0.15">
      <c r="A735" s="10"/>
      <c r="B735" s="3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3"/>
      <c r="P735" s="10"/>
    </row>
    <row r="736" spans="1:16" x14ac:dyDescent="0.15">
      <c r="A736" s="10"/>
      <c r="B736" s="3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3"/>
      <c r="P736" s="10"/>
    </row>
    <row r="737" spans="1:16" x14ac:dyDescent="0.15">
      <c r="A737" s="10"/>
      <c r="B737" s="3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3"/>
      <c r="P737" s="10"/>
    </row>
    <row r="738" spans="1:16" x14ac:dyDescent="0.15">
      <c r="A738" s="10"/>
      <c r="B738" s="3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3"/>
      <c r="P738" s="10"/>
    </row>
    <row r="739" spans="1:16" x14ac:dyDescent="0.15">
      <c r="A739" s="10"/>
      <c r="B739" s="3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3"/>
      <c r="P739" s="10"/>
    </row>
    <row r="740" spans="1:16" x14ac:dyDescent="0.15">
      <c r="A740" s="10"/>
      <c r="B740" s="3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3"/>
      <c r="P740" s="10"/>
    </row>
    <row r="741" spans="1:16" x14ac:dyDescent="0.15">
      <c r="A741" s="10"/>
      <c r="B741" s="3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3"/>
      <c r="P741" s="10"/>
    </row>
    <row r="742" spans="1:16" x14ac:dyDescent="0.15">
      <c r="A742" s="10"/>
      <c r="B742" s="3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3"/>
      <c r="P742" s="10"/>
    </row>
    <row r="743" spans="1:16" x14ac:dyDescent="0.15">
      <c r="A743" s="10"/>
      <c r="B743" s="3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3"/>
      <c r="P743" s="10"/>
    </row>
    <row r="744" spans="1:16" x14ac:dyDescent="0.15">
      <c r="A744" s="10"/>
      <c r="B744" s="3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3"/>
      <c r="P744" s="10"/>
    </row>
    <row r="745" spans="1:16" x14ac:dyDescent="0.15">
      <c r="A745" s="10"/>
      <c r="B745" s="3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3"/>
      <c r="P745" s="10"/>
    </row>
    <row r="746" spans="1:16" x14ac:dyDescent="0.15">
      <c r="A746" s="10"/>
      <c r="B746" s="3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3"/>
      <c r="P746" s="10"/>
    </row>
    <row r="747" spans="1:16" x14ac:dyDescent="0.15">
      <c r="A747" s="10"/>
      <c r="B747" s="3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3"/>
      <c r="P747" s="10"/>
    </row>
    <row r="748" spans="1:16" x14ac:dyDescent="0.15">
      <c r="A748" s="10"/>
      <c r="B748" s="3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3"/>
      <c r="P748" s="10"/>
    </row>
    <row r="749" spans="1:16" x14ac:dyDescent="0.15">
      <c r="A749" s="10"/>
      <c r="B749" s="3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3"/>
      <c r="P749" s="10"/>
    </row>
    <row r="750" spans="1:16" x14ac:dyDescent="0.15">
      <c r="A750" s="10"/>
      <c r="B750" s="3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3"/>
      <c r="P750" s="10"/>
    </row>
    <row r="751" spans="1:16" x14ac:dyDescent="0.15">
      <c r="A751" s="10"/>
      <c r="B751" s="3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3"/>
      <c r="P751" s="10"/>
    </row>
    <row r="752" spans="1:16" x14ac:dyDescent="0.15">
      <c r="A752" s="10"/>
      <c r="B752" s="3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3"/>
      <c r="P752" s="10"/>
    </row>
    <row r="753" spans="1:16" x14ac:dyDescent="0.15">
      <c r="A753" s="10"/>
      <c r="B753" s="3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3"/>
      <c r="P753" s="10"/>
    </row>
    <row r="754" spans="1:16" x14ac:dyDescent="0.15">
      <c r="A754" s="10"/>
      <c r="B754" s="3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3"/>
      <c r="P754" s="10"/>
    </row>
    <row r="755" spans="1:16" x14ac:dyDescent="0.15">
      <c r="A755" s="10"/>
      <c r="B755" s="3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3"/>
      <c r="P755" s="10"/>
    </row>
    <row r="756" spans="1:16" x14ac:dyDescent="0.15">
      <c r="A756" s="10"/>
      <c r="B756" s="3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3"/>
      <c r="P756" s="10"/>
    </row>
    <row r="757" spans="1:16" x14ac:dyDescent="0.15">
      <c r="A757" s="10"/>
      <c r="B757" s="3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3"/>
      <c r="P757" s="10"/>
    </row>
    <row r="758" spans="1:16" x14ac:dyDescent="0.15">
      <c r="A758" s="10"/>
      <c r="B758" s="3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3"/>
      <c r="P758" s="10"/>
    </row>
    <row r="759" spans="1:16" x14ac:dyDescent="0.15">
      <c r="A759" s="10"/>
      <c r="B759" s="3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3"/>
      <c r="P759" s="10"/>
    </row>
    <row r="760" spans="1:16" x14ac:dyDescent="0.15">
      <c r="A760" s="10"/>
      <c r="B760" s="3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3"/>
      <c r="P760" s="10"/>
    </row>
    <row r="761" spans="1:16" x14ac:dyDescent="0.15">
      <c r="A761" s="10"/>
      <c r="B761" s="3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3"/>
      <c r="P761" s="10"/>
    </row>
    <row r="762" spans="1:16" x14ac:dyDescent="0.15">
      <c r="A762" s="10"/>
      <c r="B762" s="3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3"/>
      <c r="P762" s="10"/>
    </row>
    <row r="763" spans="1:16" x14ac:dyDescent="0.15">
      <c r="A763" s="10"/>
      <c r="B763" s="3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3"/>
      <c r="P763" s="10"/>
    </row>
    <row r="764" spans="1:16" x14ac:dyDescent="0.15">
      <c r="A764" s="10"/>
      <c r="B764" s="3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3"/>
      <c r="P764" s="10"/>
    </row>
    <row r="765" spans="1:16" x14ac:dyDescent="0.15">
      <c r="A765" s="10"/>
      <c r="B765" s="3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3"/>
      <c r="P765" s="10"/>
    </row>
    <row r="766" spans="1:16" x14ac:dyDescent="0.15">
      <c r="A766" s="10"/>
      <c r="B766" s="3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3"/>
      <c r="P766" s="10"/>
    </row>
    <row r="767" spans="1:16" x14ac:dyDescent="0.15">
      <c r="A767" s="10"/>
      <c r="B767" s="3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3"/>
      <c r="P767" s="10"/>
    </row>
    <row r="768" spans="1:16" x14ac:dyDescent="0.15">
      <c r="A768" s="10"/>
      <c r="B768" s="3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3"/>
      <c r="P768" s="10"/>
    </row>
    <row r="769" spans="1:16" x14ac:dyDescent="0.15">
      <c r="A769" s="10"/>
      <c r="B769" s="3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3"/>
      <c r="P769" s="10"/>
    </row>
    <row r="770" spans="1:16" x14ac:dyDescent="0.15">
      <c r="A770" s="10"/>
      <c r="B770" s="3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3"/>
      <c r="P770" s="10"/>
    </row>
    <row r="771" spans="1:16" x14ac:dyDescent="0.15">
      <c r="A771" s="10"/>
      <c r="B771" s="3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3"/>
      <c r="P771" s="10"/>
    </row>
    <row r="772" spans="1:16" x14ac:dyDescent="0.15">
      <c r="A772" s="10"/>
      <c r="B772" s="3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3"/>
      <c r="P772" s="10"/>
    </row>
    <row r="773" spans="1:16" x14ac:dyDescent="0.15">
      <c r="A773" s="10"/>
      <c r="B773" s="3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3"/>
      <c r="P773" s="10"/>
    </row>
    <row r="774" spans="1:16" x14ac:dyDescent="0.15">
      <c r="A774" s="10"/>
      <c r="B774" s="3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3"/>
      <c r="P774" s="10"/>
    </row>
    <row r="775" spans="1:16" x14ac:dyDescent="0.15">
      <c r="A775" s="10"/>
      <c r="B775" s="3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3"/>
      <c r="P775" s="10"/>
    </row>
    <row r="776" spans="1:16" x14ac:dyDescent="0.15">
      <c r="A776" s="10"/>
      <c r="B776" s="3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3"/>
      <c r="P776" s="10"/>
    </row>
    <row r="777" spans="1:16" x14ac:dyDescent="0.15">
      <c r="A777" s="10"/>
      <c r="B777" s="3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3"/>
      <c r="P777" s="10"/>
    </row>
    <row r="778" spans="1:16" x14ac:dyDescent="0.15">
      <c r="A778" s="10"/>
      <c r="B778" s="3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3"/>
      <c r="P778" s="10"/>
    </row>
    <row r="779" spans="1:16" x14ac:dyDescent="0.15">
      <c r="A779" s="10"/>
      <c r="B779" s="3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3"/>
      <c r="P779" s="10"/>
    </row>
    <row r="780" spans="1:16" x14ac:dyDescent="0.15">
      <c r="A780" s="10"/>
      <c r="B780" s="3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3"/>
      <c r="P780" s="10"/>
    </row>
    <row r="781" spans="1:16" x14ac:dyDescent="0.15">
      <c r="A781" s="10"/>
      <c r="B781" s="3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3"/>
      <c r="P781" s="10"/>
    </row>
    <row r="782" spans="1:16" x14ac:dyDescent="0.15">
      <c r="A782" s="10"/>
      <c r="B782" s="3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3"/>
      <c r="P782" s="10"/>
    </row>
    <row r="783" spans="1:16" x14ac:dyDescent="0.15">
      <c r="A783" s="10"/>
      <c r="B783" s="3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3"/>
      <c r="P783" s="10"/>
    </row>
    <row r="784" spans="1:16" x14ac:dyDescent="0.15">
      <c r="A784" s="10"/>
      <c r="B784" s="3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3"/>
      <c r="P784" s="10"/>
    </row>
    <row r="785" spans="1:16" x14ac:dyDescent="0.15">
      <c r="A785" s="10"/>
      <c r="B785" s="3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3"/>
      <c r="P785" s="10"/>
    </row>
    <row r="786" spans="1:16" x14ac:dyDescent="0.15">
      <c r="A786" s="10"/>
      <c r="B786" s="3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3"/>
      <c r="P786" s="10"/>
    </row>
    <row r="787" spans="1:16" x14ac:dyDescent="0.15">
      <c r="A787" s="10"/>
      <c r="B787" s="3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3"/>
      <c r="P787" s="10"/>
    </row>
    <row r="788" spans="1:16" x14ac:dyDescent="0.15">
      <c r="A788" s="10"/>
      <c r="B788" s="3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3"/>
      <c r="P788" s="10"/>
    </row>
    <row r="789" spans="1:16" x14ac:dyDescent="0.15">
      <c r="A789" s="10"/>
      <c r="B789" s="3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3"/>
      <c r="P789" s="10"/>
    </row>
    <row r="790" spans="1:16" x14ac:dyDescent="0.15">
      <c r="A790" s="10"/>
      <c r="B790" s="3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3"/>
      <c r="P790" s="10"/>
    </row>
    <row r="791" spans="1:16" x14ac:dyDescent="0.15">
      <c r="A791" s="10"/>
      <c r="B791" s="3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3"/>
      <c r="P791" s="10"/>
    </row>
    <row r="792" spans="1:16" x14ac:dyDescent="0.15">
      <c r="A792" s="10"/>
      <c r="B792" s="3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3"/>
      <c r="P792" s="10"/>
    </row>
    <row r="793" spans="1:16" x14ac:dyDescent="0.15">
      <c r="A793" s="10"/>
      <c r="B793" s="3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3"/>
      <c r="P793" s="10"/>
    </row>
    <row r="794" spans="1:16" x14ac:dyDescent="0.15">
      <c r="A794" s="10"/>
      <c r="B794" s="3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3"/>
      <c r="P794" s="10"/>
    </row>
    <row r="795" spans="1:16" x14ac:dyDescent="0.15">
      <c r="A795" s="10"/>
      <c r="B795" s="3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3"/>
      <c r="P795" s="10"/>
    </row>
    <row r="796" spans="1:16" x14ac:dyDescent="0.15">
      <c r="A796" s="10"/>
      <c r="B796" s="3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3"/>
      <c r="P796" s="10"/>
    </row>
    <row r="797" spans="1:16" x14ac:dyDescent="0.15">
      <c r="A797" s="10"/>
      <c r="B797" s="3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3"/>
      <c r="P797" s="10"/>
    </row>
    <row r="798" spans="1:16" x14ac:dyDescent="0.15">
      <c r="A798" s="10"/>
      <c r="B798" s="3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3"/>
      <c r="P798" s="10"/>
    </row>
    <row r="799" spans="1:16" x14ac:dyDescent="0.15">
      <c r="A799" s="10"/>
      <c r="B799" s="3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3"/>
      <c r="P799" s="10"/>
    </row>
    <row r="800" spans="1:16" x14ac:dyDescent="0.15">
      <c r="A800" s="10"/>
      <c r="B800" s="3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3"/>
      <c r="P800" s="10"/>
    </row>
    <row r="801" spans="1:16" x14ac:dyDescent="0.15">
      <c r="A801" s="10"/>
      <c r="B801" s="3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3"/>
      <c r="P801" s="10"/>
    </row>
    <row r="802" spans="1:16" x14ac:dyDescent="0.15">
      <c r="A802" s="10"/>
      <c r="B802" s="3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3"/>
      <c r="P802" s="10"/>
    </row>
    <row r="803" spans="1:16" x14ac:dyDescent="0.15">
      <c r="A803" s="10"/>
      <c r="B803" s="3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3"/>
      <c r="P803" s="10"/>
    </row>
    <row r="804" spans="1:16" x14ac:dyDescent="0.15">
      <c r="A804" s="10"/>
      <c r="B804" s="3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3"/>
      <c r="P804" s="10"/>
    </row>
    <row r="805" spans="1:16" x14ac:dyDescent="0.15">
      <c r="A805" s="10"/>
      <c r="B805" s="3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3"/>
      <c r="P805" s="10"/>
    </row>
    <row r="806" spans="1:16" x14ac:dyDescent="0.15">
      <c r="A806" s="10"/>
      <c r="B806" s="3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3"/>
      <c r="P806" s="10"/>
    </row>
    <row r="807" spans="1:16" x14ac:dyDescent="0.15">
      <c r="A807" s="10"/>
      <c r="B807" s="3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3"/>
      <c r="P807" s="10"/>
    </row>
    <row r="808" spans="1:16" x14ac:dyDescent="0.15">
      <c r="A808" s="10"/>
      <c r="B808" s="3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3"/>
      <c r="P808" s="10"/>
    </row>
    <row r="809" spans="1:16" x14ac:dyDescent="0.15">
      <c r="A809" s="10"/>
      <c r="B809" s="3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3"/>
      <c r="P809" s="10"/>
    </row>
    <row r="810" spans="1:16" x14ac:dyDescent="0.15">
      <c r="A810" s="10"/>
      <c r="B810" s="3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3"/>
      <c r="P810" s="10"/>
    </row>
    <row r="811" spans="1:16" x14ac:dyDescent="0.15">
      <c r="A811" s="10"/>
      <c r="B811" s="3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3"/>
      <c r="P811" s="10"/>
    </row>
    <row r="812" spans="1:16" x14ac:dyDescent="0.15">
      <c r="A812" s="10"/>
      <c r="B812" s="3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3"/>
      <c r="P812" s="10"/>
    </row>
    <row r="813" spans="1:16" x14ac:dyDescent="0.15">
      <c r="A813" s="10"/>
      <c r="B813" s="3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3"/>
      <c r="P813" s="10"/>
    </row>
    <row r="814" spans="1:16" x14ac:dyDescent="0.15">
      <c r="A814" s="10"/>
      <c r="B814" s="3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3"/>
      <c r="P814" s="10"/>
    </row>
    <row r="815" spans="1:16" x14ac:dyDescent="0.15">
      <c r="A815" s="10"/>
      <c r="B815" s="3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3"/>
      <c r="P815" s="10"/>
    </row>
    <row r="816" spans="1:16" x14ac:dyDescent="0.15">
      <c r="A816" s="10"/>
      <c r="B816" s="3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3"/>
      <c r="P816" s="10"/>
    </row>
    <row r="817" spans="1:16" x14ac:dyDescent="0.15">
      <c r="A817" s="10"/>
      <c r="B817" s="3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3"/>
      <c r="P817" s="10"/>
    </row>
    <row r="818" spans="1:16" x14ac:dyDescent="0.15">
      <c r="A818" s="10"/>
      <c r="B818" s="3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3"/>
      <c r="P818" s="10"/>
    </row>
    <row r="819" spans="1:16" x14ac:dyDescent="0.15">
      <c r="A819" s="10"/>
      <c r="B819" s="3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3"/>
      <c r="P819" s="10"/>
    </row>
    <row r="820" spans="1:16" x14ac:dyDescent="0.15">
      <c r="A820" s="10"/>
      <c r="B820" s="3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3"/>
      <c r="P820" s="10"/>
    </row>
    <row r="821" spans="1:16" x14ac:dyDescent="0.15">
      <c r="A821" s="10"/>
      <c r="B821" s="3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3"/>
      <c r="P821" s="10"/>
    </row>
    <row r="822" spans="1:16" x14ac:dyDescent="0.15">
      <c r="A822" s="10"/>
      <c r="B822" s="3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3"/>
      <c r="P822" s="10"/>
    </row>
    <row r="823" spans="1:16" x14ac:dyDescent="0.15">
      <c r="A823" s="10"/>
      <c r="B823" s="3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3"/>
      <c r="P823" s="10"/>
    </row>
    <row r="824" spans="1:16" x14ac:dyDescent="0.15">
      <c r="A824" s="10"/>
      <c r="B824" s="3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3"/>
      <c r="P824" s="10"/>
    </row>
    <row r="825" spans="1:16" x14ac:dyDescent="0.15">
      <c r="A825" s="10"/>
      <c r="B825" s="3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3"/>
      <c r="P825" s="10"/>
    </row>
    <row r="826" spans="1:16" x14ac:dyDescent="0.15">
      <c r="A826" s="10"/>
      <c r="B826" s="3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3"/>
      <c r="P826" s="10"/>
    </row>
    <row r="827" spans="1:16" x14ac:dyDescent="0.15">
      <c r="A827" s="10"/>
      <c r="B827" s="3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3"/>
      <c r="P827" s="10"/>
    </row>
    <row r="828" spans="1:16" x14ac:dyDescent="0.15">
      <c r="A828" s="10"/>
      <c r="B828" s="3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3"/>
      <c r="P828" s="10"/>
    </row>
    <row r="829" spans="1:16" x14ac:dyDescent="0.15">
      <c r="A829" s="10"/>
      <c r="B829" s="3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3"/>
      <c r="P829" s="10"/>
    </row>
    <row r="830" spans="1:16" x14ac:dyDescent="0.15">
      <c r="A830" s="10"/>
      <c r="B830" s="3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3"/>
      <c r="P830" s="10"/>
    </row>
    <row r="831" spans="1:16" x14ac:dyDescent="0.15">
      <c r="A831" s="10"/>
      <c r="B831" s="3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3"/>
      <c r="P831" s="10"/>
    </row>
    <row r="832" spans="1:16" x14ac:dyDescent="0.15">
      <c r="A832" s="10"/>
      <c r="B832" s="3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3"/>
      <c r="P832" s="10"/>
    </row>
    <row r="833" spans="1:16" x14ac:dyDescent="0.15">
      <c r="A833" s="10"/>
      <c r="B833" s="3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3"/>
      <c r="P833" s="10"/>
    </row>
    <row r="834" spans="1:16" x14ac:dyDescent="0.15">
      <c r="A834" s="10"/>
      <c r="B834" s="3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3"/>
      <c r="P834" s="10"/>
    </row>
    <row r="835" spans="1:16" x14ac:dyDescent="0.15">
      <c r="A835" s="10"/>
      <c r="B835" s="3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3"/>
      <c r="P835" s="10"/>
    </row>
    <row r="836" spans="1:16" x14ac:dyDescent="0.15">
      <c r="A836" s="10"/>
      <c r="B836" s="3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3"/>
      <c r="P836" s="10"/>
    </row>
    <row r="837" spans="1:16" x14ac:dyDescent="0.15">
      <c r="A837" s="10"/>
      <c r="B837" s="3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3"/>
      <c r="P837" s="10"/>
    </row>
    <row r="838" spans="1:16" x14ac:dyDescent="0.15">
      <c r="A838" s="10"/>
      <c r="B838" s="3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3"/>
      <c r="P838" s="10"/>
    </row>
    <row r="839" spans="1:16" x14ac:dyDescent="0.15">
      <c r="A839" s="10"/>
      <c r="B839" s="3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3"/>
      <c r="P839" s="10"/>
    </row>
    <row r="840" spans="1:16" x14ac:dyDescent="0.15">
      <c r="A840" s="10"/>
      <c r="B840" s="3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3"/>
      <c r="P840" s="10"/>
    </row>
    <row r="841" spans="1:16" x14ac:dyDescent="0.15">
      <c r="A841" s="10"/>
      <c r="B841" s="3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3"/>
      <c r="P841" s="10"/>
    </row>
    <row r="842" spans="1:16" x14ac:dyDescent="0.15">
      <c r="A842" s="10"/>
      <c r="B842" s="3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3"/>
      <c r="P842" s="10"/>
    </row>
    <row r="843" spans="1:16" x14ac:dyDescent="0.15">
      <c r="A843" s="10"/>
      <c r="B843" s="3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3"/>
      <c r="P843" s="10"/>
    </row>
    <row r="844" spans="1:16" x14ac:dyDescent="0.15">
      <c r="A844" s="10"/>
      <c r="B844" s="3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3"/>
      <c r="P844" s="10"/>
    </row>
    <row r="845" spans="1:16" x14ac:dyDescent="0.15">
      <c r="A845" s="10"/>
      <c r="B845" s="3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3"/>
      <c r="P845" s="10"/>
    </row>
    <row r="846" spans="1:16" x14ac:dyDescent="0.15">
      <c r="A846" s="10"/>
      <c r="B846" s="3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3"/>
      <c r="P846" s="10"/>
    </row>
    <row r="847" spans="1:16" x14ac:dyDescent="0.15">
      <c r="A847" s="10"/>
      <c r="B847" s="3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3"/>
      <c r="P847" s="10"/>
    </row>
    <row r="848" spans="1:16" x14ac:dyDescent="0.15">
      <c r="A848" s="10"/>
      <c r="B848" s="3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3"/>
      <c r="P848" s="10"/>
    </row>
    <row r="849" spans="1:16" x14ac:dyDescent="0.15">
      <c r="A849" s="10"/>
      <c r="B849" s="3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3"/>
      <c r="P849" s="10"/>
    </row>
    <row r="850" spans="1:16" x14ac:dyDescent="0.15">
      <c r="A850" s="10"/>
      <c r="B850" s="3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3"/>
      <c r="P850" s="10"/>
    </row>
    <row r="851" spans="1:16" x14ac:dyDescent="0.15">
      <c r="A851" s="10"/>
      <c r="B851" s="3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3"/>
      <c r="P851" s="10"/>
    </row>
    <row r="852" spans="1:16" x14ac:dyDescent="0.15">
      <c r="A852" s="10"/>
      <c r="B852" s="3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3"/>
      <c r="P852" s="10"/>
    </row>
    <row r="853" spans="1:16" x14ac:dyDescent="0.15">
      <c r="A853" s="10"/>
      <c r="B853" s="3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3"/>
      <c r="P853" s="10"/>
    </row>
    <row r="854" spans="1:16" x14ac:dyDescent="0.15">
      <c r="A854" s="10"/>
      <c r="B854" s="3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3"/>
      <c r="P854" s="10"/>
    </row>
    <row r="855" spans="1:16" x14ac:dyDescent="0.15">
      <c r="A855" s="10"/>
      <c r="B855" s="3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3"/>
      <c r="P855" s="10"/>
    </row>
    <row r="856" spans="1:16" x14ac:dyDescent="0.15">
      <c r="A856" s="10"/>
      <c r="B856" s="3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3"/>
      <c r="P856" s="10"/>
    </row>
    <row r="857" spans="1:16" x14ac:dyDescent="0.15">
      <c r="A857" s="10"/>
      <c r="B857" s="3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3"/>
      <c r="P857" s="10"/>
    </row>
    <row r="858" spans="1:16" x14ac:dyDescent="0.15">
      <c r="A858" s="10"/>
      <c r="B858" s="3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3"/>
      <c r="P858" s="10"/>
    </row>
    <row r="859" spans="1:16" x14ac:dyDescent="0.15">
      <c r="A859" s="10"/>
      <c r="B859" s="3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3"/>
      <c r="P859" s="10"/>
    </row>
    <row r="860" spans="1:16" x14ac:dyDescent="0.15">
      <c r="A860" s="10"/>
      <c r="B860" s="3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3"/>
      <c r="P860" s="10"/>
    </row>
    <row r="861" spans="1:16" x14ac:dyDescent="0.15">
      <c r="A861" s="10"/>
      <c r="B861" s="3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3"/>
      <c r="P861" s="10"/>
    </row>
    <row r="862" spans="1:16" x14ac:dyDescent="0.15">
      <c r="A862" s="10"/>
      <c r="B862" s="3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3"/>
      <c r="P862" s="10"/>
    </row>
    <row r="863" spans="1:16" x14ac:dyDescent="0.15">
      <c r="A863" s="10"/>
      <c r="B863" s="3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3"/>
      <c r="P863" s="10"/>
    </row>
    <row r="864" spans="1:16" x14ac:dyDescent="0.15">
      <c r="A864" s="10"/>
      <c r="B864" s="3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3"/>
      <c r="P864" s="10"/>
    </row>
    <row r="865" spans="1:16" x14ac:dyDescent="0.15">
      <c r="A865" s="10"/>
      <c r="B865" s="3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3"/>
      <c r="P865" s="10"/>
    </row>
    <row r="866" spans="1:16" x14ac:dyDescent="0.15">
      <c r="A866" s="10"/>
      <c r="B866" s="3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3"/>
      <c r="P866" s="10"/>
    </row>
    <row r="867" spans="1:16" x14ac:dyDescent="0.15">
      <c r="A867" s="10"/>
      <c r="B867" s="3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3"/>
      <c r="P867" s="10"/>
    </row>
    <row r="868" spans="1:16" x14ac:dyDescent="0.15">
      <c r="A868" s="10"/>
      <c r="B868" s="3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3"/>
      <c r="P868" s="10"/>
    </row>
    <row r="869" spans="1:16" x14ac:dyDescent="0.15">
      <c r="A869" s="10"/>
      <c r="B869" s="3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3"/>
      <c r="P869" s="10"/>
    </row>
    <row r="870" spans="1:16" x14ac:dyDescent="0.15">
      <c r="A870" s="10"/>
      <c r="B870" s="3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3"/>
      <c r="P870" s="10"/>
    </row>
    <row r="871" spans="1:16" x14ac:dyDescent="0.15">
      <c r="A871" s="10"/>
      <c r="B871" s="3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3"/>
      <c r="P871" s="10"/>
    </row>
    <row r="872" spans="1:16" x14ac:dyDescent="0.15">
      <c r="A872" s="10"/>
      <c r="B872" s="3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3"/>
      <c r="P872" s="10"/>
    </row>
    <row r="873" spans="1:16" x14ac:dyDescent="0.15">
      <c r="A873" s="10"/>
      <c r="B873" s="3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3"/>
      <c r="P873" s="10"/>
    </row>
    <row r="874" spans="1:16" x14ac:dyDescent="0.15">
      <c r="A874" s="10"/>
      <c r="B874" s="3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3"/>
      <c r="P874" s="10"/>
    </row>
    <row r="875" spans="1:16" x14ac:dyDescent="0.15">
      <c r="A875" s="10"/>
      <c r="B875" s="3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3"/>
      <c r="P875" s="10"/>
    </row>
    <row r="876" spans="1:16" x14ac:dyDescent="0.15">
      <c r="A876" s="10"/>
      <c r="B876" s="3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3"/>
      <c r="P876" s="10"/>
    </row>
    <row r="877" spans="1:16" x14ac:dyDescent="0.15">
      <c r="A877" s="10"/>
      <c r="B877" s="3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3"/>
      <c r="P877" s="10"/>
    </row>
    <row r="878" spans="1:16" x14ac:dyDescent="0.15">
      <c r="A878" s="10"/>
      <c r="B878" s="3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3"/>
      <c r="P878" s="10"/>
    </row>
    <row r="879" spans="1:16" x14ac:dyDescent="0.15">
      <c r="A879" s="10"/>
      <c r="B879" s="3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3"/>
      <c r="P879" s="10"/>
    </row>
    <row r="880" spans="1:16" x14ac:dyDescent="0.15">
      <c r="A880" s="10"/>
      <c r="B880" s="3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3"/>
      <c r="P880" s="10"/>
    </row>
    <row r="881" spans="1:16" x14ac:dyDescent="0.15">
      <c r="A881" s="10"/>
      <c r="B881" s="3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3"/>
      <c r="P881" s="10"/>
    </row>
    <row r="882" spans="1:16" x14ac:dyDescent="0.15">
      <c r="A882" s="10"/>
      <c r="B882" s="3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3"/>
      <c r="P882" s="10"/>
    </row>
    <row r="883" spans="1:16" x14ac:dyDescent="0.15">
      <c r="A883" s="10"/>
      <c r="B883" s="3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3"/>
      <c r="P883" s="10"/>
    </row>
    <row r="884" spans="1:16" x14ac:dyDescent="0.15">
      <c r="A884" s="10"/>
      <c r="B884" s="3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3"/>
      <c r="P884" s="10"/>
    </row>
    <row r="885" spans="1:16" x14ac:dyDescent="0.15">
      <c r="A885" s="10"/>
      <c r="B885" s="3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3"/>
      <c r="P885" s="10"/>
    </row>
    <row r="886" spans="1:16" x14ac:dyDescent="0.15">
      <c r="A886" s="10"/>
      <c r="B886" s="3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3"/>
      <c r="P886" s="10"/>
    </row>
    <row r="887" spans="1:16" x14ac:dyDescent="0.15">
      <c r="A887" s="10"/>
      <c r="B887" s="3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3"/>
      <c r="P887" s="10"/>
    </row>
    <row r="888" spans="1:16" x14ac:dyDescent="0.15">
      <c r="A888" s="10"/>
      <c r="B888" s="3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3"/>
      <c r="P888" s="10"/>
    </row>
    <row r="889" spans="1:16" x14ac:dyDescent="0.15">
      <c r="A889" s="10"/>
      <c r="B889" s="3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3"/>
      <c r="P889" s="10"/>
    </row>
    <row r="890" spans="1:16" x14ac:dyDescent="0.15">
      <c r="A890" s="10"/>
      <c r="B890" s="3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3"/>
      <c r="P890" s="10"/>
    </row>
    <row r="891" spans="1:16" x14ac:dyDescent="0.15">
      <c r="A891" s="10"/>
      <c r="B891" s="3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3"/>
      <c r="P891" s="10"/>
    </row>
    <row r="892" spans="1:16" x14ac:dyDescent="0.15">
      <c r="A892" s="10"/>
      <c r="B892" s="3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3"/>
      <c r="P892" s="10"/>
    </row>
    <row r="893" spans="1:16" x14ac:dyDescent="0.15">
      <c r="A893" s="10"/>
      <c r="B893" s="3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3"/>
      <c r="P893" s="10"/>
    </row>
    <row r="894" spans="1:16" x14ac:dyDescent="0.15">
      <c r="A894" s="10"/>
      <c r="B894" s="3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3"/>
      <c r="P894" s="10"/>
    </row>
    <row r="895" spans="1:16" x14ac:dyDescent="0.15">
      <c r="A895" s="10"/>
      <c r="B895" s="3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3"/>
      <c r="P895" s="10"/>
    </row>
    <row r="896" spans="1:16" x14ac:dyDescent="0.15">
      <c r="A896" s="10"/>
      <c r="B896" s="3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3"/>
      <c r="P896" s="10"/>
    </row>
    <row r="897" spans="1:16" x14ac:dyDescent="0.15">
      <c r="A897" s="10"/>
      <c r="B897" s="3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3"/>
      <c r="P897" s="10"/>
    </row>
    <row r="898" spans="1:16" x14ac:dyDescent="0.15">
      <c r="A898" s="10"/>
      <c r="B898" s="3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3"/>
      <c r="P898" s="10"/>
    </row>
    <row r="899" spans="1:16" x14ac:dyDescent="0.15">
      <c r="A899" s="10"/>
      <c r="B899" s="3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3"/>
      <c r="P899" s="10"/>
    </row>
    <row r="900" spans="1:16" x14ac:dyDescent="0.15">
      <c r="A900" s="10"/>
      <c r="B900" s="3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3"/>
      <c r="P900" s="10"/>
    </row>
    <row r="901" spans="1:16" x14ac:dyDescent="0.15">
      <c r="A901" s="10"/>
      <c r="B901" s="3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3"/>
      <c r="P901" s="10"/>
    </row>
    <row r="902" spans="1:16" x14ac:dyDescent="0.15">
      <c r="A902" s="10"/>
      <c r="B902" s="3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3"/>
      <c r="P902" s="10"/>
    </row>
    <row r="903" spans="1:16" x14ac:dyDescent="0.15">
      <c r="A903" s="10"/>
      <c r="B903" s="3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3"/>
      <c r="P903" s="10"/>
    </row>
    <row r="904" spans="1:16" x14ac:dyDescent="0.15">
      <c r="A904" s="10"/>
      <c r="B904" s="3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3"/>
      <c r="P904" s="10"/>
    </row>
    <row r="905" spans="1:16" x14ac:dyDescent="0.15">
      <c r="A905" s="10"/>
      <c r="B905" s="3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3"/>
      <c r="P905" s="10"/>
    </row>
    <row r="906" spans="1:16" x14ac:dyDescent="0.15">
      <c r="A906" s="10"/>
      <c r="B906" s="3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3"/>
      <c r="P906" s="10"/>
    </row>
    <row r="907" spans="1:16" x14ac:dyDescent="0.15">
      <c r="A907" s="10"/>
      <c r="B907" s="3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3"/>
      <c r="P907" s="10"/>
    </row>
    <row r="908" spans="1:16" x14ac:dyDescent="0.15">
      <c r="A908" s="10"/>
      <c r="B908" s="3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3"/>
      <c r="P908" s="10"/>
    </row>
    <row r="909" spans="1:16" x14ac:dyDescent="0.15">
      <c r="A909" s="10"/>
      <c r="B909" s="3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3"/>
      <c r="P909" s="10"/>
    </row>
    <row r="910" spans="1:16" x14ac:dyDescent="0.15">
      <c r="A910" s="10"/>
      <c r="B910" s="3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3"/>
      <c r="P910" s="10"/>
    </row>
    <row r="911" spans="1:16" x14ac:dyDescent="0.15">
      <c r="A911" s="10"/>
      <c r="B911" s="3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3"/>
      <c r="P911" s="10"/>
    </row>
    <row r="912" spans="1:16" x14ac:dyDescent="0.15">
      <c r="A912" s="10"/>
      <c r="B912" s="3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3"/>
      <c r="P912" s="10"/>
    </row>
    <row r="913" spans="1:16" x14ac:dyDescent="0.15">
      <c r="A913" s="10"/>
      <c r="B913" s="3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3"/>
      <c r="P913" s="10"/>
    </row>
    <row r="914" spans="1:16" x14ac:dyDescent="0.15">
      <c r="A914" s="10"/>
      <c r="B914" s="3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3"/>
      <c r="P914" s="10"/>
    </row>
    <row r="915" spans="1:16" x14ac:dyDescent="0.15">
      <c r="A915" s="10"/>
      <c r="B915" s="3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3"/>
      <c r="P915" s="10"/>
    </row>
    <row r="916" spans="1:16" x14ac:dyDescent="0.15">
      <c r="A916" s="10"/>
      <c r="B916" s="3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3"/>
      <c r="P916" s="10"/>
    </row>
    <row r="917" spans="1:16" x14ac:dyDescent="0.15">
      <c r="A917" s="10"/>
      <c r="B917" s="3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3"/>
      <c r="P917" s="10"/>
    </row>
    <row r="918" spans="1:16" x14ac:dyDescent="0.15">
      <c r="A918" s="10"/>
      <c r="B918" s="3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3"/>
      <c r="P918" s="10"/>
    </row>
    <row r="919" spans="1:16" x14ac:dyDescent="0.15">
      <c r="A919" s="10"/>
      <c r="B919" s="3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3"/>
      <c r="P919" s="10"/>
    </row>
    <row r="920" spans="1:16" x14ac:dyDescent="0.15">
      <c r="A920" s="10"/>
      <c r="B920" s="3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3"/>
      <c r="P920" s="10"/>
    </row>
    <row r="921" spans="1:16" x14ac:dyDescent="0.15">
      <c r="A921" s="10"/>
      <c r="B921" s="3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3"/>
      <c r="P921" s="10"/>
    </row>
    <row r="922" spans="1:16" x14ac:dyDescent="0.15">
      <c r="A922" s="10"/>
      <c r="B922" s="3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3"/>
      <c r="P922" s="10"/>
    </row>
    <row r="923" spans="1:16" x14ac:dyDescent="0.15">
      <c r="A923" s="10"/>
      <c r="B923" s="3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3"/>
      <c r="P923" s="10"/>
    </row>
    <row r="924" spans="1:16" x14ac:dyDescent="0.15">
      <c r="A924" s="10"/>
      <c r="B924" s="3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3"/>
      <c r="P924" s="10"/>
    </row>
    <row r="925" spans="1:16" x14ac:dyDescent="0.15">
      <c r="A925" s="10"/>
      <c r="B925" s="3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3"/>
      <c r="P925" s="10"/>
    </row>
    <row r="926" spans="1:16" x14ac:dyDescent="0.15">
      <c r="A926" s="10"/>
      <c r="B926" s="3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3"/>
      <c r="P926" s="10"/>
    </row>
    <row r="927" spans="1:16" x14ac:dyDescent="0.15">
      <c r="A927" s="10"/>
      <c r="B927" s="3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3"/>
      <c r="P927" s="10"/>
    </row>
    <row r="928" spans="1:16" x14ac:dyDescent="0.15">
      <c r="A928" s="10"/>
      <c r="B928" s="3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3"/>
      <c r="P928" s="10"/>
    </row>
    <row r="929" spans="1:16" x14ac:dyDescent="0.15">
      <c r="A929" s="10"/>
      <c r="B929" s="3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3"/>
      <c r="P929" s="10"/>
    </row>
    <row r="930" spans="1:16" x14ac:dyDescent="0.15">
      <c r="A930" s="10"/>
      <c r="B930" s="3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3"/>
      <c r="P930" s="10"/>
    </row>
    <row r="931" spans="1:16" x14ac:dyDescent="0.15">
      <c r="A931" s="10"/>
      <c r="B931" s="3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3"/>
      <c r="P931" s="10"/>
    </row>
    <row r="932" spans="1:16" x14ac:dyDescent="0.15">
      <c r="A932" s="10"/>
      <c r="B932" s="3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3"/>
      <c r="P932" s="10"/>
    </row>
    <row r="933" spans="1:16" x14ac:dyDescent="0.15">
      <c r="A933" s="10"/>
      <c r="B933" s="3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3"/>
      <c r="P933" s="10"/>
    </row>
    <row r="934" spans="1:16" x14ac:dyDescent="0.15">
      <c r="A934" s="10"/>
      <c r="B934" s="3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3"/>
      <c r="P934" s="10"/>
    </row>
    <row r="935" spans="1:16" x14ac:dyDescent="0.15">
      <c r="A935" s="10"/>
      <c r="B935" s="3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3"/>
      <c r="P935" s="10"/>
    </row>
    <row r="936" spans="1:16" x14ac:dyDescent="0.15">
      <c r="A936" s="10"/>
      <c r="B936" s="3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3"/>
      <c r="P936" s="10"/>
    </row>
    <row r="937" spans="1:16" x14ac:dyDescent="0.15">
      <c r="A937" s="10"/>
      <c r="B937" s="3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3"/>
      <c r="P937" s="10"/>
    </row>
    <row r="938" spans="1:16" x14ac:dyDescent="0.15">
      <c r="A938" s="10"/>
      <c r="B938" s="3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3"/>
      <c r="P938" s="10"/>
    </row>
    <row r="939" spans="1:16" x14ac:dyDescent="0.15">
      <c r="A939" s="10"/>
      <c r="B939" s="3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3"/>
      <c r="P939" s="10"/>
    </row>
    <row r="940" spans="1:16" x14ac:dyDescent="0.15">
      <c r="A940" s="10"/>
      <c r="B940" s="3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3"/>
      <c r="P940" s="10"/>
    </row>
    <row r="941" spans="1:16" x14ac:dyDescent="0.15">
      <c r="A941" s="10"/>
      <c r="B941" s="3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3"/>
      <c r="P941" s="10"/>
    </row>
    <row r="942" spans="1:16" x14ac:dyDescent="0.15">
      <c r="A942" s="10"/>
      <c r="B942" s="3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3"/>
      <c r="P942" s="10"/>
    </row>
    <row r="943" spans="1:16" x14ac:dyDescent="0.15">
      <c r="A943" s="10"/>
      <c r="B943" s="3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3"/>
      <c r="P943" s="10"/>
    </row>
    <row r="944" spans="1:16" x14ac:dyDescent="0.15">
      <c r="A944" s="10"/>
      <c r="B944" s="3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3"/>
      <c r="P944" s="10"/>
    </row>
    <row r="945" spans="1:16" x14ac:dyDescent="0.15">
      <c r="A945" s="10"/>
      <c r="B945" s="3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3"/>
      <c r="P945" s="10"/>
    </row>
    <row r="946" spans="1:16" x14ac:dyDescent="0.15">
      <c r="A946" s="10"/>
      <c r="B946" s="3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3"/>
      <c r="P946" s="10"/>
    </row>
    <row r="947" spans="1:16" x14ac:dyDescent="0.15">
      <c r="A947" s="10"/>
      <c r="B947" s="3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3"/>
      <c r="P947" s="10"/>
    </row>
    <row r="948" spans="1:16" x14ac:dyDescent="0.15">
      <c r="A948" s="10"/>
      <c r="B948" s="3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3"/>
      <c r="P948" s="10"/>
    </row>
    <row r="949" spans="1:16" x14ac:dyDescent="0.15">
      <c r="A949" s="10"/>
      <c r="B949" s="3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3"/>
      <c r="P949" s="10"/>
    </row>
    <row r="950" spans="1:16" x14ac:dyDescent="0.15">
      <c r="A950" s="10"/>
      <c r="B950" s="3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3"/>
      <c r="P950" s="10"/>
    </row>
    <row r="951" spans="1:16" x14ac:dyDescent="0.15">
      <c r="A951" s="10"/>
      <c r="B951" s="3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3"/>
      <c r="P951" s="10"/>
    </row>
    <row r="952" spans="1:16" x14ac:dyDescent="0.15">
      <c r="A952" s="10"/>
      <c r="B952" s="3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3"/>
      <c r="P952" s="10"/>
    </row>
    <row r="953" spans="1:16" x14ac:dyDescent="0.15">
      <c r="A953" s="10"/>
      <c r="B953" s="3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3"/>
      <c r="P953" s="10"/>
    </row>
    <row r="954" spans="1:16" x14ac:dyDescent="0.15">
      <c r="A954" s="10"/>
      <c r="B954" s="3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3"/>
      <c r="P954" s="10"/>
    </row>
    <row r="955" spans="1:16" x14ac:dyDescent="0.15">
      <c r="A955" s="10"/>
      <c r="B955" s="3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3"/>
      <c r="P955" s="10"/>
    </row>
    <row r="956" spans="1:16" x14ac:dyDescent="0.15">
      <c r="A956" s="10"/>
      <c r="B956" s="3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3"/>
      <c r="P956" s="10"/>
    </row>
    <row r="957" spans="1:16" x14ac:dyDescent="0.15">
      <c r="A957" s="10"/>
      <c r="B957" s="3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3"/>
      <c r="P957" s="10"/>
    </row>
    <row r="958" spans="1:16" x14ac:dyDescent="0.15">
      <c r="A958" s="10"/>
      <c r="B958" s="3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3"/>
      <c r="P958" s="10"/>
    </row>
    <row r="959" spans="1:16" x14ac:dyDescent="0.15">
      <c r="A959" s="10"/>
      <c r="B959" s="3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3"/>
      <c r="P959" s="10"/>
    </row>
    <row r="960" spans="1:16" x14ac:dyDescent="0.15">
      <c r="A960" s="10"/>
      <c r="B960" s="3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3"/>
      <c r="P960" s="10"/>
    </row>
    <row r="961" spans="1:16" x14ac:dyDescent="0.15">
      <c r="A961" s="10"/>
      <c r="B961" s="3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3"/>
      <c r="P961" s="10"/>
    </row>
    <row r="962" spans="1:16" x14ac:dyDescent="0.15">
      <c r="A962" s="10"/>
      <c r="B962" s="3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3"/>
      <c r="P962" s="10"/>
    </row>
    <row r="963" spans="1:16" x14ac:dyDescent="0.15">
      <c r="A963" s="10"/>
      <c r="B963" s="3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3"/>
      <c r="P963" s="10"/>
    </row>
    <row r="964" spans="1:16" x14ac:dyDescent="0.15">
      <c r="A964" s="10"/>
      <c r="B964" s="3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3"/>
      <c r="P964" s="10"/>
    </row>
    <row r="965" spans="1:16" x14ac:dyDescent="0.15">
      <c r="A965" s="10"/>
      <c r="B965" s="3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3"/>
      <c r="P965" s="10"/>
    </row>
    <row r="966" spans="1:16" x14ac:dyDescent="0.15">
      <c r="A966" s="10"/>
      <c r="B966" s="3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3"/>
      <c r="P966" s="10"/>
    </row>
    <row r="967" spans="1:16" x14ac:dyDescent="0.15">
      <c r="A967" s="10"/>
      <c r="B967" s="3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3"/>
      <c r="P967" s="10"/>
    </row>
    <row r="968" spans="1:16" x14ac:dyDescent="0.15">
      <c r="A968" s="10"/>
      <c r="B968" s="3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3"/>
      <c r="P968" s="10"/>
    </row>
    <row r="969" spans="1:16" x14ac:dyDescent="0.15">
      <c r="A969" s="10"/>
      <c r="B969" s="3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3"/>
      <c r="P969" s="10"/>
    </row>
    <row r="970" spans="1:16" x14ac:dyDescent="0.15">
      <c r="A970" s="10"/>
      <c r="B970" s="3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3"/>
      <c r="P970" s="10"/>
    </row>
    <row r="971" spans="1:16" x14ac:dyDescent="0.15">
      <c r="A971" s="10"/>
      <c r="B971" s="3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3"/>
      <c r="P971" s="10"/>
    </row>
    <row r="972" spans="1:16" x14ac:dyDescent="0.15">
      <c r="A972" s="10"/>
      <c r="B972" s="3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3"/>
      <c r="P972" s="10"/>
    </row>
    <row r="973" spans="1:16" x14ac:dyDescent="0.15">
      <c r="A973" s="10"/>
      <c r="B973" s="3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3"/>
      <c r="P973" s="10"/>
    </row>
    <row r="974" spans="1:16" x14ac:dyDescent="0.15">
      <c r="A974" s="10"/>
      <c r="B974" s="3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3"/>
      <c r="P974" s="10"/>
    </row>
    <row r="975" spans="1:16" x14ac:dyDescent="0.15">
      <c r="A975" s="10"/>
      <c r="B975" s="3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3"/>
      <c r="P975" s="10"/>
    </row>
    <row r="976" spans="1:16" x14ac:dyDescent="0.15">
      <c r="A976" s="10"/>
      <c r="B976" s="3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3"/>
      <c r="P976" s="10"/>
    </row>
    <row r="977" spans="1:16" x14ac:dyDescent="0.15">
      <c r="A977" s="10"/>
      <c r="B977" s="3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3"/>
      <c r="P977" s="10"/>
    </row>
    <row r="978" spans="1:16" x14ac:dyDescent="0.15">
      <c r="A978" s="10"/>
      <c r="B978" s="3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3"/>
      <c r="P978" s="10"/>
    </row>
    <row r="979" spans="1:16" x14ac:dyDescent="0.15">
      <c r="A979" s="10"/>
      <c r="B979" s="3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3"/>
      <c r="P979" s="10"/>
    </row>
    <row r="980" spans="1:16" x14ac:dyDescent="0.15">
      <c r="A980" s="10"/>
      <c r="B980" s="3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3"/>
      <c r="P980" s="10"/>
    </row>
    <row r="981" spans="1:16" x14ac:dyDescent="0.15">
      <c r="A981" s="10"/>
      <c r="B981" s="3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3"/>
      <c r="P981" s="10"/>
    </row>
    <row r="982" spans="1:16" x14ac:dyDescent="0.15">
      <c r="A982" s="10"/>
      <c r="B982" s="3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3"/>
      <c r="P982" s="10"/>
    </row>
    <row r="983" spans="1:16" x14ac:dyDescent="0.15">
      <c r="A983" s="10"/>
      <c r="B983" s="3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3"/>
      <c r="P983" s="10"/>
    </row>
    <row r="984" spans="1:16" x14ac:dyDescent="0.15">
      <c r="A984" s="10"/>
      <c r="B984" s="3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3"/>
      <c r="P984" s="10"/>
    </row>
    <row r="985" spans="1:16" x14ac:dyDescent="0.15">
      <c r="A985" s="10"/>
      <c r="B985" s="3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3"/>
      <c r="P985" s="10"/>
    </row>
    <row r="986" spans="1:16" x14ac:dyDescent="0.15">
      <c r="A986" s="10"/>
      <c r="B986" s="3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3"/>
      <c r="P986" s="10"/>
    </row>
    <row r="987" spans="1:16" x14ac:dyDescent="0.15">
      <c r="A987" s="10"/>
      <c r="B987" s="3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3"/>
      <c r="P987" s="10"/>
    </row>
    <row r="988" spans="1:16" x14ac:dyDescent="0.15">
      <c r="A988" s="10"/>
      <c r="B988" s="3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3"/>
      <c r="P988" s="10"/>
    </row>
    <row r="989" spans="1:16" x14ac:dyDescent="0.15">
      <c r="A989" s="10"/>
      <c r="B989" s="3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3"/>
      <c r="P989" s="10"/>
    </row>
    <row r="990" spans="1:16" x14ac:dyDescent="0.15">
      <c r="A990" s="10"/>
      <c r="B990" s="3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3"/>
      <c r="P990" s="10"/>
    </row>
    <row r="991" spans="1:16" x14ac:dyDescent="0.15">
      <c r="A991" s="10"/>
      <c r="B991" s="3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3"/>
      <c r="P991" s="10"/>
    </row>
    <row r="992" spans="1:16" x14ac:dyDescent="0.15">
      <c r="A992" s="10"/>
      <c r="B992" s="3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3"/>
      <c r="P992" s="10"/>
    </row>
    <row r="993" spans="1:16" x14ac:dyDescent="0.15">
      <c r="A993" s="10"/>
      <c r="B993" s="3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3"/>
      <c r="P993" s="10"/>
    </row>
    <row r="994" spans="1:16" x14ac:dyDescent="0.15">
      <c r="A994" s="10"/>
      <c r="B994" s="3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3"/>
      <c r="P994" s="10"/>
    </row>
    <row r="995" spans="1:16" x14ac:dyDescent="0.15">
      <c r="A995" s="10"/>
      <c r="B995" s="3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3"/>
      <c r="P995" s="10"/>
    </row>
    <row r="996" spans="1:16" x14ac:dyDescent="0.15">
      <c r="A996" s="10"/>
      <c r="B996" s="3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3"/>
      <c r="P996" s="10"/>
    </row>
    <row r="997" spans="1:16" x14ac:dyDescent="0.15">
      <c r="A997" s="10"/>
      <c r="B997" s="3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3"/>
      <c r="P997" s="10"/>
    </row>
    <row r="998" spans="1:16" x14ac:dyDescent="0.15">
      <c r="A998" s="10"/>
      <c r="B998" s="3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3"/>
      <c r="P998" s="10"/>
    </row>
    <row r="999" spans="1:16" x14ac:dyDescent="0.15">
      <c r="A999" s="10"/>
      <c r="B999" s="3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3"/>
      <c r="P999" s="10"/>
    </row>
    <row r="1000" spans="1:16" x14ac:dyDescent="0.15">
      <c r="A1000" s="10"/>
      <c r="B1000" s="3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3"/>
      <c r="P1000" s="10"/>
    </row>
    <row r="1001" spans="1:16" x14ac:dyDescent="0.15">
      <c r="A1001" s="10"/>
      <c r="B1001" s="3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3"/>
      <c r="P1001" s="10"/>
    </row>
    <row r="1002" spans="1:16" x14ac:dyDescent="0.15">
      <c r="A1002" s="10"/>
      <c r="B1002" s="3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3"/>
      <c r="P1002" s="10"/>
    </row>
    <row r="1003" spans="1:16" x14ac:dyDescent="0.15">
      <c r="A1003" s="10"/>
      <c r="B1003" s="3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3"/>
      <c r="P1003" s="10"/>
    </row>
    <row r="1004" spans="1:16" x14ac:dyDescent="0.15">
      <c r="A1004" s="10"/>
      <c r="B1004" s="3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3"/>
      <c r="P1004" s="10"/>
    </row>
    <row r="1005" spans="1:16" x14ac:dyDescent="0.15">
      <c r="A1005" s="10"/>
      <c r="B1005" s="3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3"/>
      <c r="P1005" s="10"/>
    </row>
    <row r="1006" spans="1:16" x14ac:dyDescent="0.15">
      <c r="A1006" s="10"/>
      <c r="B1006" s="3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3"/>
      <c r="P1006" s="10"/>
    </row>
    <row r="1007" spans="1:16" x14ac:dyDescent="0.15">
      <c r="A1007" s="10"/>
      <c r="B1007" s="3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3"/>
      <c r="P1007" s="10"/>
    </row>
    <row r="1008" spans="1:16" x14ac:dyDescent="0.15">
      <c r="A1008" s="10"/>
      <c r="B1008" s="3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3"/>
      <c r="P1008" s="10"/>
    </row>
    <row r="1009" spans="1:16" x14ac:dyDescent="0.15">
      <c r="A1009" s="10"/>
      <c r="B1009" s="3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3"/>
      <c r="P1009" s="10"/>
    </row>
    <row r="1010" spans="1:16" x14ac:dyDescent="0.15">
      <c r="A1010" s="10"/>
      <c r="B1010" s="3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3"/>
      <c r="P1010" s="10"/>
    </row>
    <row r="1011" spans="1:16" x14ac:dyDescent="0.15">
      <c r="A1011" s="10"/>
      <c r="B1011" s="3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3"/>
      <c r="P1011" s="10"/>
    </row>
    <row r="1012" spans="1:16" x14ac:dyDescent="0.15">
      <c r="A1012" s="10"/>
      <c r="B1012" s="3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3"/>
      <c r="P1012" s="10"/>
    </row>
    <row r="1013" spans="1:16" x14ac:dyDescent="0.15">
      <c r="A1013" s="10"/>
      <c r="B1013" s="3"/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/>
      <c r="N1013" s="10"/>
      <c r="O1013" s="3"/>
      <c r="P1013" s="10"/>
    </row>
    <row r="1014" spans="1:16" x14ac:dyDescent="0.15">
      <c r="A1014" s="10"/>
      <c r="B1014" s="3"/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/>
      <c r="N1014" s="10"/>
      <c r="O1014" s="3"/>
      <c r="P1014" s="10"/>
    </row>
    <row r="1015" spans="1:16" x14ac:dyDescent="0.15">
      <c r="A1015" s="10"/>
      <c r="B1015" s="3"/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/>
      <c r="N1015" s="10"/>
      <c r="O1015" s="3"/>
      <c r="P1015" s="10"/>
    </row>
    <row r="1016" spans="1:16" x14ac:dyDescent="0.15">
      <c r="A1016" s="10"/>
      <c r="B1016" s="3"/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/>
      <c r="N1016" s="10"/>
      <c r="O1016" s="3"/>
      <c r="P1016" s="10"/>
    </row>
    <row r="1017" spans="1:16" x14ac:dyDescent="0.15">
      <c r="A1017" s="10"/>
      <c r="B1017" s="3"/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/>
      <c r="N1017" s="10"/>
      <c r="O1017" s="3"/>
      <c r="P1017" s="10"/>
    </row>
    <row r="1018" spans="1:16" x14ac:dyDescent="0.15">
      <c r="A1018" s="10"/>
      <c r="B1018" s="3"/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/>
      <c r="N1018" s="10"/>
      <c r="O1018" s="3"/>
      <c r="P1018" s="10"/>
    </row>
    <row r="1019" spans="1:16" x14ac:dyDescent="0.15">
      <c r="A1019" s="10"/>
      <c r="B1019" s="3"/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/>
      <c r="N1019" s="10"/>
      <c r="O1019" s="3"/>
      <c r="P1019" s="10"/>
    </row>
    <row r="1020" spans="1:16" x14ac:dyDescent="0.15">
      <c r="A1020" s="10"/>
      <c r="B1020" s="3"/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/>
      <c r="N1020" s="10"/>
      <c r="O1020" s="3"/>
      <c r="P1020" s="10"/>
    </row>
    <row r="1021" spans="1:16" x14ac:dyDescent="0.15">
      <c r="A1021" s="10"/>
      <c r="B1021" s="3"/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/>
      <c r="N1021" s="10"/>
      <c r="O1021" s="3"/>
      <c r="P1021" s="10"/>
    </row>
    <row r="1022" spans="1:16" x14ac:dyDescent="0.15">
      <c r="A1022" s="10"/>
      <c r="B1022" s="3"/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/>
      <c r="N1022" s="10"/>
      <c r="O1022" s="3"/>
      <c r="P1022" s="10"/>
    </row>
    <row r="1023" spans="1:16" x14ac:dyDescent="0.15">
      <c r="A1023" s="10"/>
      <c r="B1023" s="3"/>
      <c r="C1023" s="10"/>
      <c r="D1023" s="10"/>
      <c r="E1023" s="10"/>
      <c r="F1023" s="10"/>
      <c r="G1023" s="10"/>
      <c r="H1023" s="10"/>
      <c r="I1023" s="10"/>
      <c r="J1023" s="10"/>
      <c r="K1023" s="10"/>
      <c r="L1023" s="10"/>
      <c r="M1023" s="10"/>
      <c r="N1023" s="10"/>
      <c r="O1023" s="3"/>
      <c r="P1023" s="10"/>
    </row>
    <row r="1024" spans="1:16" x14ac:dyDescent="0.15">
      <c r="A1024" s="10"/>
      <c r="B1024" s="3"/>
      <c r="C1024" s="10"/>
      <c r="D1024" s="10"/>
      <c r="E1024" s="10"/>
      <c r="F1024" s="10"/>
      <c r="G1024" s="10"/>
      <c r="H1024" s="10"/>
      <c r="I1024" s="10"/>
      <c r="J1024" s="10"/>
      <c r="K1024" s="10"/>
      <c r="L1024" s="10"/>
      <c r="M1024" s="10"/>
      <c r="N1024" s="10"/>
      <c r="O1024" s="3"/>
      <c r="P1024" s="10"/>
    </row>
    <row r="1025" spans="1:16" x14ac:dyDescent="0.15">
      <c r="A1025" s="10"/>
      <c r="B1025" s="3"/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/>
      <c r="N1025" s="10"/>
      <c r="O1025" s="3"/>
      <c r="P1025" s="10"/>
    </row>
    <row r="1026" spans="1:16" x14ac:dyDescent="0.15">
      <c r="A1026" s="10"/>
      <c r="B1026" s="3"/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/>
      <c r="N1026" s="10"/>
      <c r="O1026" s="3"/>
      <c r="P1026" s="10"/>
    </row>
    <row r="1027" spans="1:16" x14ac:dyDescent="0.15">
      <c r="A1027" s="10"/>
      <c r="B1027" s="3"/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/>
      <c r="N1027" s="10"/>
      <c r="O1027" s="3"/>
      <c r="P1027" s="10"/>
    </row>
    <row r="1028" spans="1:16" x14ac:dyDescent="0.15">
      <c r="A1028" s="10"/>
      <c r="B1028" s="3"/>
      <c r="C1028" s="10"/>
      <c r="D1028" s="10"/>
      <c r="E1028" s="10"/>
      <c r="F1028" s="10"/>
      <c r="G1028" s="10"/>
      <c r="H1028" s="10"/>
      <c r="I1028" s="10"/>
      <c r="J1028" s="10"/>
      <c r="K1028" s="10"/>
      <c r="L1028" s="10"/>
      <c r="M1028" s="10"/>
      <c r="N1028" s="10"/>
      <c r="O1028" s="3"/>
      <c r="P1028" s="10"/>
    </row>
    <row r="1029" spans="1:16" x14ac:dyDescent="0.15">
      <c r="A1029" s="10"/>
      <c r="B1029" s="3"/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/>
      <c r="N1029" s="10"/>
      <c r="O1029" s="3"/>
      <c r="P1029" s="10"/>
    </row>
    <row r="1030" spans="1:16" x14ac:dyDescent="0.15">
      <c r="A1030" s="10"/>
      <c r="B1030" s="3"/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/>
      <c r="N1030" s="10"/>
      <c r="O1030" s="3"/>
      <c r="P1030" s="10"/>
    </row>
    <row r="1031" spans="1:16" x14ac:dyDescent="0.15">
      <c r="A1031" s="10"/>
      <c r="B1031" s="3"/>
      <c r="C1031" s="10"/>
      <c r="D1031" s="10"/>
      <c r="E1031" s="10"/>
      <c r="F1031" s="10"/>
      <c r="G1031" s="10"/>
      <c r="H1031" s="10"/>
      <c r="I1031" s="10"/>
      <c r="J1031" s="10"/>
      <c r="K1031" s="10"/>
      <c r="L1031" s="10"/>
      <c r="M1031" s="10"/>
      <c r="N1031" s="10"/>
      <c r="O1031" s="3"/>
      <c r="P1031" s="10"/>
    </row>
    <row r="1032" spans="1:16" x14ac:dyDescent="0.15">
      <c r="A1032" s="10"/>
      <c r="B1032" s="3"/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/>
      <c r="N1032" s="10"/>
      <c r="O1032" s="3"/>
      <c r="P1032" s="10"/>
    </row>
    <row r="1033" spans="1:16" x14ac:dyDescent="0.15">
      <c r="A1033" s="10"/>
      <c r="B1033" s="3"/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/>
      <c r="N1033" s="10"/>
      <c r="O1033" s="3"/>
      <c r="P1033" s="10"/>
    </row>
    <row r="1034" spans="1:16" x14ac:dyDescent="0.15">
      <c r="A1034" s="10"/>
      <c r="B1034" s="3"/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/>
      <c r="N1034" s="10"/>
      <c r="O1034" s="3"/>
      <c r="P1034" s="10"/>
    </row>
    <row r="1035" spans="1:16" x14ac:dyDescent="0.15">
      <c r="A1035" s="10"/>
      <c r="B1035" s="3"/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/>
      <c r="N1035" s="10"/>
      <c r="O1035" s="3"/>
      <c r="P1035" s="10"/>
    </row>
    <row r="1036" spans="1:16" x14ac:dyDescent="0.15">
      <c r="A1036" s="10"/>
      <c r="B1036" s="3"/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/>
      <c r="N1036" s="10"/>
      <c r="O1036" s="3"/>
      <c r="P1036" s="10"/>
    </row>
    <row r="1037" spans="1:16" x14ac:dyDescent="0.15">
      <c r="A1037" s="10"/>
      <c r="B1037" s="3"/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/>
      <c r="N1037" s="10"/>
      <c r="O1037" s="3"/>
      <c r="P1037" s="10"/>
    </row>
    <row r="1038" spans="1:16" x14ac:dyDescent="0.15">
      <c r="A1038" s="10"/>
      <c r="B1038" s="3"/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/>
      <c r="N1038" s="10"/>
      <c r="O1038" s="3"/>
      <c r="P1038" s="10"/>
    </row>
    <row r="1039" spans="1:16" x14ac:dyDescent="0.15">
      <c r="A1039" s="10"/>
      <c r="B1039" s="3"/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/>
      <c r="N1039" s="10"/>
      <c r="O1039" s="3"/>
      <c r="P1039" s="10"/>
    </row>
    <row r="1040" spans="1:16" x14ac:dyDescent="0.15">
      <c r="A1040" s="10"/>
      <c r="B1040" s="3"/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/>
      <c r="N1040" s="10"/>
      <c r="O1040" s="3"/>
      <c r="P1040" s="10"/>
    </row>
    <row r="1041" spans="1:16" x14ac:dyDescent="0.15">
      <c r="A1041" s="10"/>
      <c r="B1041" s="3"/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/>
      <c r="N1041" s="10"/>
      <c r="O1041" s="3"/>
      <c r="P1041" s="10"/>
    </row>
    <row r="1042" spans="1:16" x14ac:dyDescent="0.15">
      <c r="A1042" s="10"/>
      <c r="B1042" s="3"/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/>
      <c r="N1042" s="10"/>
      <c r="O1042" s="3"/>
      <c r="P1042" s="10"/>
    </row>
    <row r="1043" spans="1:16" x14ac:dyDescent="0.15">
      <c r="A1043" s="10"/>
      <c r="B1043" s="3"/>
      <c r="C1043" s="10"/>
      <c r="D1043" s="10"/>
      <c r="E1043" s="10"/>
      <c r="F1043" s="10"/>
      <c r="G1043" s="10"/>
      <c r="H1043" s="10"/>
      <c r="I1043" s="10"/>
      <c r="J1043" s="10"/>
      <c r="K1043" s="10"/>
      <c r="L1043" s="10"/>
      <c r="M1043" s="10"/>
      <c r="N1043" s="10"/>
      <c r="O1043" s="3"/>
      <c r="P1043" s="10"/>
    </row>
    <row r="1044" spans="1:16" x14ac:dyDescent="0.15">
      <c r="A1044" s="10"/>
      <c r="B1044" s="3"/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/>
      <c r="N1044" s="10"/>
      <c r="O1044" s="3"/>
      <c r="P1044" s="10"/>
    </row>
    <row r="1045" spans="1:16" x14ac:dyDescent="0.15">
      <c r="A1045" s="10"/>
      <c r="B1045" s="3"/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/>
      <c r="N1045" s="10"/>
      <c r="O1045" s="3"/>
      <c r="P1045" s="10"/>
    </row>
    <row r="1046" spans="1:16" x14ac:dyDescent="0.15">
      <c r="A1046" s="10"/>
      <c r="B1046" s="3"/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/>
      <c r="N1046" s="10"/>
      <c r="O1046" s="3"/>
      <c r="P1046" s="10"/>
    </row>
    <row r="1047" spans="1:16" x14ac:dyDescent="0.15">
      <c r="A1047" s="10"/>
      <c r="B1047" s="3"/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/>
      <c r="N1047" s="10"/>
      <c r="O1047" s="3"/>
      <c r="P1047" s="10"/>
    </row>
    <row r="1048" spans="1:16" x14ac:dyDescent="0.15">
      <c r="A1048" s="10"/>
      <c r="B1048" s="3"/>
      <c r="C1048" s="10"/>
      <c r="D1048" s="10"/>
      <c r="E1048" s="10"/>
      <c r="F1048" s="10"/>
      <c r="G1048" s="10"/>
      <c r="H1048" s="10"/>
      <c r="I1048" s="10"/>
      <c r="J1048" s="10"/>
      <c r="K1048" s="10"/>
      <c r="L1048" s="10"/>
      <c r="M1048" s="10"/>
      <c r="N1048" s="10"/>
      <c r="O1048" s="3"/>
      <c r="P1048" s="10"/>
    </row>
    <row r="1049" spans="1:16" x14ac:dyDescent="0.15">
      <c r="A1049" s="10"/>
      <c r="B1049" s="3"/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/>
      <c r="N1049" s="10"/>
      <c r="O1049" s="3"/>
      <c r="P1049" s="10"/>
    </row>
    <row r="1050" spans="1:16" x14ac:dyDescent="0.15">
      <c r="A1050" s="10"/>
      <c r="B1050" s="3"/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/>
      <c r="N1050" s="10"/>
      <c r="O1050" s="3"/>
      <c r="P1050" s="10"/>
    </row>
    <row r="1051" spans="1:16" x14ac:dyDescent="0.15">
      <c r="A1051" s="10"/>
      <c r="B1051" s="3"/>
      <c r="C1051" s="10"/>
      <c r="D1051" s="10"/>
      <c r="E1051" s="10"/>
      <c r="F1051" s="10"/>
      <c r="G1051" s="10"/>
      <c r="H1051" s="10"/>
      <c r="I1051" s="10"/>
      <c r="J1051" s="10"/>
      <c r="K1051" s="10"/>
      <c r="L1051" s="10"/>
      <c r="M1051" s="10"/>
      <c r="N1051" s="10"/>
      <c r="O1051" s="3"/>
      <c r="P1051" s="10"/>
    </row>
    <row r="1052" spans="1:16" x14ac:dyDescent="0.15">
      <c r="A1052" s="10"/>
      <c r="B1052" s="3"/>
      <c r="C1052" s="10"/>
      <c r="D1052" s="10"/>
      <c r="E1052" s="10"/>
      <c r="F1052" s="10"/>
      <c r="G1052" s="10"/>
      <c r="H1052" s="10"/>
      <c r="I1052" s="10"/>
      <c r="J1052" s="10"/>
      <c r="K1052" s="10"/>
      <c r="L1052" s="10"/>
      <c r="M1052" s="10"/>
      <c r="N1052" s="10"/>
      <c r="O1052" s="3"/>
      <c r="P1052" s="10"/>
    </row>
    <row r="1053" spans="1:16" x14ac:dyDescent="0.15">
      <c r="A1053" s="10"/>
      <c r="B1053" s="3"/>
      <c r="C1053" s="10"/>
      <c r="D1053" s="10"/>
      <c r="E1053" s="10"/>
      <c r="F1053" s="10"/>
      <c r="G1053" s="10"/>
      <c r="H1053" s="10"/>
      <c r="I1053" s="10"/>
      <c r="J1053" s="10"/>
      <c r="K1053" s="10"/>
      <c r="L1053" s="10"/>
      <c r="M1053" s="10"/>
      <c r="N1053" s="10"/>
      <c r="O1053" s="3"/>
      <c r="P1053" s="10"/>
    </row>
    <row r="1054" spans="1:16" x14ac:dyDescent="0.15">
      <c r="A1054" s="10"/>
      <c r="B1054" s="3"/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/>
      <c r="N1054" s="10"/>
      <c r="O1054" s="3"/>
      <c r="P1054" s="10"/>
    </row>
    <row r="1055" spans="1:16" x14ac:dyDescent="0.15">
      <c r="A1055" s="10"/>
      <c r="B1055" s="3"/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/>
      <c r="N1055" s="10"/>
      <c r="O1055" s="3"/>
      <c r="P1055" s="10"/>
    </row>
    <row r="1056" spans="1:16" x14ac:dyDescent="0.15">
      <c r="A1056" s="10"/>
      <c r="B1056" s="3"/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/>
      <c r="N1056" s="10"/>
      <c r="O1056" s="3"/>
      <c r="P1056" s="10"/>
    </row>
    <row r="1057" spans="1:16" x14ac:dyDescent="0.15">
      <c r="A1057" s="10"/>
      <c r="B1057" s="3"/>
      <c r="C1057" s="10"/>
      <c r="D1057" s="10"/>
      <c r="E1057" s="10"/>
      <c r="F1057" s="10"/>
      <c r="G1057" s="10"/>
      <c r="H1057" s="10"/>
      <c r="I1057" s="10"/>
      <c r="J1057" s="10"/>
      <c r="K1057" s="10"/>
      <c r="L1057" s="10"/>
      <c r="M1057" s="10"/>
      <c r="N1057" s="10"/>
      <c r="O1057" s="3"/>
      <c r="P1057" s="10"/>
    </row>
    <row r="1058" spans="1:16" x14ac:dyDescent="0.15">
      <c r="A1058" s="10"/>
      <c r="B1058" s="3"/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/>
      <c r="N1058" s="10"/>
      <c r="O1058" s="3"/>
      <c r="P1058" s="10"/>
    </row>
    <row r="1059" spans="1:16" x14ac:dyDescent="0.15">
      <c r="A1059" s="10"/>
      <c r="B1059" s="3"/>
      <c r="C1059" s="10"/>
      <c r="D1059" s="10"/>
      <c r="E1059" s="10"/>
      <c r="F1059" s="10"/>
      <c r="G1059" s="10"/>
      <c r="H1059" s="10"/>
      <c r="I1059" s="10"/>
      <c r="J1059" s="10"/>
      <c r="K1059" s="10"/>
      <c r="L1059" s="10"/>
      <c r="M1059" s="10"/>
      <c r="N1059" s="10"/>
      <c r="O1059" s="3"/>
      <c r="P1059" s="10"/>
    </row>
    <row r="1060" spans="1:16" x14ac:dyDescent="0.15">
      <c r="A1060" s="10"/>
      <c r="B1060" s="3"/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/>
      <c r="N1060" s="10"/>
      <c r="O1060" s="3"/>
      <c r="P1060" s="10"/>
    </row>
    <row r="1061" spans="1:16" x14ac:dyDescent="0.15">
      <c r="A1061" s="10"/>
      <c r="B1061" s="3"/>
      <c r="C1061" s="10"/>
      <c r="D1061" s="10"/>
      <c r="E1061" s="10"/>
      <c r="F1061" s="10"/>
      <c r="G1061" s="10"/>
      <c r="H1061" s="10"/>
      <c r="I1061" s="10"/>
      <c r="J1061" s="10"/>
      <c r="K1061" s="10"/>
      <c r="L1061" s="10"/>
      <c r="M1061" s="10"/>
      <c r="N1061" s="10"/>
      <c r="O1061" s="3"/>
      <c r="P1061" s="10"/>
    </row>
    <row r="1062" spans="1:16" x14ac:dyDescent="0.15">
      <c r="A1062" s="10"/>
      <c r="B1062" s="3"/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/>
      <c r="N1062" s="10"/>
      <c r="O1062" s="3"/>
      <c r="P1062" s="10"/>
    </row>
    <row r="1063" spans="1:16" x14ac:dyDescent="0.15">
      <c r="A1063" s="10"/>
      <c r="B1063" s="3"/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/>
      <c r="N1063" s="10"/>
      <c r="O1063" s="3"/>
      <c r="P1063" s="10"/>
    </row>
    <row r="1064" spans="1:16" x14ac:dyDescent="0.15">
      <c r="A1064" s="10"/>
      <c r="B1064" s="3"/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/>
      <c r="N1064" s="10"/>
      <c r="O1064" s="3"/>
      <c r="P1064" s="10"/>
    </row>
    <row r="1065" spans="1:16" x14ac:dyDescent="0.15">
      <c r="A1065" s="10"/>
      <c r="B1065" s="3"/>
      <c r="C1065" s="10"/>
      <c r="D1065" s="10"/>
      <c r="E1065" s="10"/>
      <c r="F1065" s="10"/>
      <c r="G1065" s="10"/>
      <c r="H1065" s="10"/>
      <c r="I1065" s="10"/>
      <c r="J1065" s="10"/>
      <c r="K1065" s="10"/>
      <c r="L1065" s="10"/>
      <c r="M1065" s="10"/>
      <c r="N1065" s="10"/>
      <c r="O1065" s="3"/>
      <c r="P1065" s="10"/>
    </row>
    <row r="1066" spans="1:16" x14ac:dyDescent="0.15">
      <c r="A1066" s="10"/>
      <c r="B1066" s="3"/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/>
      <c r="N1066" s="10"/>
      <c r="O1066" s="3"/>
      <c r="P1066" s="10"/>
    </row>
    <row r="1067" spans="1:16" x14ac:dyDescent="0.15">
      <c r="A1067" s="10"/>
      <c r="B1067" s="3"/>
      <c r="C1067" s="10"/>
      <c r="D1067" s="10"/>
      <c r="E1067" s="10"/>
      <c r="F1067" s="10"/>
      <c r="G1067" s="10"/>
      <c r="H1067" s="10"/>
      <c r="I1067" s="10"/>
      <c r="J1067" s="10"/>
      <c r="K1067" s="10"/>
      <c r="L1067" s="10"/>
      <c r="M1067" s="10"/>
      <c r="N1067" s="10"/>
      <c r="O1067" s="3"/>
      <c r="P1067" s="10"/>
    </row>
    <row r="1068" spans="1:16" x14ac:dyDescent="0.15">
      <c r="A1068" s="10"/>
      <c r="B1068" s="3"/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/>
      <c r="N1068" s="10"/>
      <c r="O1068" s="3"/>
      <c r="P1068" s="10"/>
    </row>
    <row r="1069" spans="1:16" x14ac:dyDescent="0.15">
      <c r="A1069" s="10"/>
      <c r="B1069" s="3"/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/>
      <c r="N1069" s="10"/>
      <c r="O1069" s="3"/>
      <c r="P1069" s="10"/>
    </row>
    <row r="1070" spans="1:16" x14ac:dyDescent="0.15">
      <c r="A1070" s="10"/>
      <c r="B1070" s="3"/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/>
      <c r="N1070" s="10"/>
      <c r="O1070" s="3"/>
      <c r="P1070" s="10"/>
    </row>
    <row r="1071" spans="1:16" x14ac:dyDescent="0.15">
      <c r="A1071" s="10"/>
      <c r="B1071" s="3"/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/>
      <c r="N1071" s="10"/>
      <c r="O1071" s="3"/>
      <c r="P1071" s="10"/>
    </row>
    <row r="1072" spans="1:16" x14ac:dyDescent="0.15">
      <c r="A1072" s="10"/>
      <c r="B1072" s="3"/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/>
      <c r="N1072" s="10"/>
      <c r="O1072" s="3"/>
      <c r="P1072" s="10"/>
    </row>
    <row r="1073" spans="1:16" x14ac:dyDescent="0.15">
      <c r="A1073" s="10"/>
      <c r="B1073" s="3"/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/>
      <c r="N1073" s="10"/>
      <c r="O1073" s="3"/>
      <c r="P1073" s="10"/>
    </row>
    <row r="1074" spans="1:16" x14ac:dyDescent="0.15">
      <c r="A1074" s="10"/>
      <c r="B1074" s="3"/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/>
      <c r="N1074" s="10"/>
      <c r="O1074" s="3"/>
      <c r="P1074" s="10"/>
    </row>
    <row r="1075" spans="1:16" x14ac:dyDescent="0.15">
      <c r="A1075" s="10"/>
      <c r="B1075" s="3"/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/>
      <c r="N1075" s="10"/>
      <c r="O1075" s="3"/>
      <c r="P1075" s="10"/>
    </row>
    <row r="1076" spans="1:16" x14ac:dyDescent="0.15">
      <c r="A1076" s="10"/>
      <c r="B1076" s="3"/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/>
      <c r="N1076" s="10"/>
      <c r="O1076" s="3"/>
      <c r="P1076" s="10"/>
    </row>
    <row r="1077" spans="1:16" x14ac:dyDescent="0.15">
      <c r="A1077" s="10"/>
      <c r="B1077" s="3"/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/>
      <c r="N1077" s="10"/>
      <c r="O1077" s="3"/>
      <c r="P1077" s="10"/>
    </row>
    <row r="1078" spans="1:16" x14ac:dyDescent="0.15">
      <c r="A1078" s="10"/>
      <c r="B1078" s="3"/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/>
      <c r="N1078" s="10"/>
      <c r="O1078" s="3"/>
      <c r="P1078" s="10"/>
    </row>
    <row r="1079" spans="1:16" x14ac:dyDescent="0.15">
      <c r="A1079" s="10"/>
      <c r="B1079" s="3"/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/>
      <c r="N1079" s="10"/>
      <c r="O1079" s="3"/>
      <c r="P1079" s="10"/>
    </row>
    <row r="1080" spans="1:16" x14ac:dyDescent="0.15">
      <c r="A1080" s="10"/>
      <c r="B1080" s="3"/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/>
      <c r="N1080" s="10"/>
      <c r="O1080" s="3"/>
      <c r="P1080" s="10"/>
    </row>
    <row r="1081" spans="1:16" x14ac:dyDescent="0.15">
      <c r="A1081" s="10"/>
      <c r="B1081" s="3"/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/>
      <c r="N1081" s="10"/>
      <c r="O1081" s="3"/>
      <c r="P1081" s="10"/>
    </row>
    <row r="1082" spans="1:16" x14ac:dyDescent="0.15">
      <c r="A1082" s="10"/>
      <c r="B1082" s="3"/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/>
      <c r="N1082" s="10"/>
      <c r="O1082" s="3"/>
      <c r="P1082" s="10"/>
    </row>
    <row r="1083" spans="1:16" x14ac:dyDescent="0.15">
      <c r="A1083" s="10"/>
      <c r="B1083" s="3"/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/>
      <c r="N1083" s="10"/>
      <c r="O1083" s="3"/>
      <c r="P1083" s="10"/>
    </row>
    <row r="1084" spans="1:16" x14ac:dyDescent="0.15">
      <c r="A1084" s="10"/>
      <c r="B1084" s="3"/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/>
      <c r="N1084" s="10"/>
      <c r="O1084" s="3"/>
      <c r="P1084" s="10"/>
    </row>
    <row r="1085" spans="1:16" x14ac:dyDescent="0.15">
      <c r="A1085" s="10"/>
      <c r="B1085" s="3"/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/>
      <c r="N1085" s="10"/>
      <c r="O1085" s="3"/>
      <c r="P1085" s="10"/>
    </row>
    <row r="1086" spans="1:16" x14ac:dyDescent="0.15">
      <c r="A1086" s="10"/>
      <c r="B1086" s="3"/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/>
      <c r="N1086" s="10"/>
      <c r="O1086" s="3"/>
      <c r="P1086" s="10"/>
    </row>
    <row r="1087" spans="1:16" x14ac:dyDescent="0.15">
      <c r="A1087" s="10"/>
      <c r="B1087" s="3"/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/>
      <c r="N1087" s="10"/>
      <c r="O1087" s="3"/>
      <c r="P1087" s="10"/>
    </row>
    <row r="1088" spans="1:16" x14ac:dyDescent="0.15">
      <c r="A1088" s="10"/>
      <c r="B1088" s="3"/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/>
      <c r="N1088" s="10"/>
      <c r="O1088" s="3"/>
      <c r="P1088" s="10"/>
    </row>
    <row r="1089" spans="1:16" x14ac:dyDescent="0.15">
      <c r="A1089" s="10"/>
      <c r="B1089" s="3"/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/>
      <c r="N1089" s="10"/>
      <c r="O1089" s="3"/>
      <c r="P1089" s="10"/>
    </row>
    <row r="1090" spans="1:16" x14ac:dyDescent="0.15">
      <c r="A1090" s="10"/>
      <c r="B1090" s="3"/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/>
      <c r="N1090" s="10"/>
      <c r="O1090" s="3"/>
      <c r="P1090" s="10"/>
    </row>
    <row r="1091" spans="1:16" x14ac:dyDescent="0.15">
      <c r="A1091" s="10"/>
      <c r="B1091" s="3"/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/>
      <c r="N1091" s="10"/>
      <c r="O1091" s="3"/>
      <c r="P1091" s="10"/>
    </row>
    <row r="1092" spans="1:16" x14ac:dyDescent="0.15">
      <c r="A1092" s="10"/>
      <c r="B1092" s="3"/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/>
      <c r="N1092" s="10"/>
      <c r="O1092" s="3"/>
      <c r="P1092" s="10"/>
    </row>
    <row r="1093" spans="1:16" x14ac:dyDescent="0.15">
      <c r="A1093" s="10"/>
      <c r="B1093" s="3"/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/>
      <c r="N1093" s="10"/>
      <c r="O1093" s="3"/>
      <c r="P1093" s="10"/>
    </row>
    <row r="1094" spans="1:16" x14ac:dyDescent="0.15">
      <c r="A1094" s="10"/>
      <c r="B1094" s="3"/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/>
      <c r="N1094" s="10"/>
      <c r="O1094" s="3"/>
      <c r="P1094" s="10"/>
    </row>
    <row r="1095" spans="1:16" x14ac:dyDescent="0.15">
      <c r="A1095" s="10"/>
      <c r="B1095" s="3"/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/>
      <c r="N1095" s="10"/>
      <c r="O1095" s="3"/>
      <c r="P1095" s="10"/>
    </row>
    <row r="1096" spans="1:16" x14ac:dyDescent="0.15">
      <c r="A1096" s="10"/>
      <c r="B1096" s="3"/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/>
      <c r="N1096" s="10"/>
      <c r="O1096" s="3"/>
      <c r="P1096" s="10"/>
    </row>
    <row r="1097" spans="1:16" x14ac:dyDescent="0.15">
      <c r="A1097" s="10"/>
      <c r="B1097" s="3"/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/>
      <c r="N1097" s="10"/>
      <c r="O1097" s="3"/>
      <c r="P1097" s="10"/>
    </row>
    <row r="1098" spans="1:16" x14ac:dyDescent="0.15">
      <c r="A1098" s="10"/>
      <c r="B1098" s="3"/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/>
      <c r="N1098" s="10"/>
      <c r="O1098" s="3"/>
      <c r="P1098" s="10"/>
    </row>
    <row r="1099" spans="1:16" x14ac:dyDescent="0.15">
      <c r="A1099" s="10"/>
      <c r="B1099" s="3"/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/>
      <c r="N1099" s="10"/>
      <c r="O1099" s="3"/>
      <c r="P1099" s="10"/>
    </row>
    <row r="1100" spans="1:16" x14ac:dyDescent="0.15">
      <c r="A1100" s="10"/>
      <c r="B1100" s="3"/>
      <c r="C1100" s="10"/>
      <c r="D1100" s="10"/>
      <c r="E1100" s="10"/>
      <c r="F1100" s="10"/>
      <c r="G1100" s="10"/>
      <c r="H1100" s="10"/>
      <c r="I1100" s="10"/>
      <c r="J1100" s="10"/>
      <c r="K1100" s="10"/>
      <c r="L1100" s="10"/>
      <c r="M1100" s="10"/>
      <c r="N1100" s="10"/>
      <c r="O1100" s="3"/>
      <c r="P1100" s="10"/>
    </row>
    <row r="1101" spans="1:16" x14ac:dyDescent="0.15">
      <c r="A1101" s="10"/>
      <c r="B1101" s="3"/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/>
      <c r="N1101" s="10"/>
      <c r="O1101" s="3"/>
      <c r="P1101" s="10"/>
    </row>
    <row r="1102" spans="1:16" x14ac:dyDescent="0.15">
      <c r="A1102" s="10"/>
      <c r="B1102" s="3"/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/>
      <c r="N1102" s="10"/>
      <c r="O1102" s="3"/>
      <c r="P1102" s="10"/>
    </row>
    <row r="1103" spans="1:16" x14ac:dyDescent="0.15">
      <c r="A1103" s="10"/>
      <c r="B1103" s="3"/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/>
      <c r="N1103" s="10"/>
      <c r="O1103" s="3"/>
      <c r="P1103" s="10"/>
    </row>
    <row r="1104" spans="1:16" x14ac:dyDescent="0.15">
      <c r="A1104" s="10"/>
      <c r="B1104" s="3"/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/>
      <c r="N1104" s="10"/>
      <c r="O1104" s="3"/>
      <c r="P1104" s="10"/>
    </row>
    <row r="1105" spans="1:16" x14ac:dyDescent="0.15">
      <c r="A1105" s="10"/>
      <c r="B1105" s="3"/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/>
      <c r="N1105" s="10"/>
      <c r="O1105" s="3"/>
      <c r="P1105" s="10"/>
    </row>
    <row r="1106" spans="1:16" x14ac:dyDescent="0.15">
      <c r="A1106" s="10"/>
      <c r="B1106" s="3"/>
      <c r="C1106" s="10"/>
      <c r="D1106" s="10"/>
      <c r="E1106" s="10"/>
      <c r="F1106" s="10"/>
      <c r="G1106" s="10"/>
      <c r="H1106" s="10"/>
      <c r="I1106" s="10"/>
      <c r="J1106" s="10"/>
      <c r="K1106" s="10"/>
      <c r="L1106" s="10"/>
      <c r="M1106" s="10"/>
      <c r="N1106" s="10"/>
      <c r="O1106" s="3"/>
      <c r="P1106" s="10"/>
    </row>
    <row r="1107" spans="1:16" x14ac:dyDescent="0.15">
      <c r="A1107" s="10"/>
      <c r="B1107" s="3"/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/>
      <c r="N1107" s="10"/>
      <c r="O1107" s="3"/>
      <c r="P1107" s="10"/>
    </row>
    <row r="1108" spans="1:16" x14ac:dyDescent="0.15">
      <c r="A1108" s="10"/>
      <c r="B1108" s="3"/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/>
      <c r="N1108" s="10"/>
      <c r="O1108" s="3"/>
      <c r="P1108" s="10"/>
    </row>
    <row r="1109" spans="1:16" x14ac:dyDescent="0.15">
      <c r="A1109" s="10"/>
      <c r="B1109" s="3"/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/>
      <c r="N1109" s="10"/>
      <c r="O1109" s="3"/>
      <c r="P1109" s="10"/>
    </row>
    <row r="1110" spans="1:16" x14ac:dyDescent="0.15">
      <c r="A1110" s="10"/>
      <c r="B1110" s="3"/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/>
      <c r="N1110" s="10"/>
      <c r="O1110" s="3"/>
      <c r="P1110" s="10"/>
    </row>
    <row r="1111" spans="1:16" x14ac:dyDescent="0.15">
      <c r="A1111" s="10"/>
      <c r="B1111" s="3"/>
      <c r="C1111" s="10"/>
      <c r="D1111" s="10"/>
      <c r="E1111" s="10"/>
      <c r="F1111" s="10"/>
      <c r="G1111" s="10"/>
      <c r="H1111" s="10"/>
      <c r="I1111" s="10"/>
      <c r="J1111" s="10"/>
      <c r="K1111" s="10"/>
      <c r="L1111" s="10"/>
      <c r="M1111" s="10"/>
      <c r="N1111" s="10"/>
      <c r="O1111" s="3"/>
      <c r="P1111" s="10"/>
    </row>
    <row r="1112" spans="1:16" x14ac:dyDescent="0.15">
      <c r="A1112" s="10"/>
      <c r="B1112" s="3"/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/>
      <c r="N1112" s="10"/>
      <c r="O1112" s="3"/>
      <c r="P1112" s="10"/>
    </row>
    <row r="1113" spans="1:16" x14ac:dyDescent="0.15">
      <c r="A1113" s="10"/>
      <c r="B1113" s="3"/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/>
      <c r="N1113" s="10"/>
      <c r="O1113" s="3"/>
      <c r="P1113" s="10"/>
    </row>
    <row r="1114" spans="1:16" x14ac:dyDescent="0.15">
      <c r="A1114" s="10"/>
      <c r="B1114" s="3"/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/>
      <c r="N1114" s="10"/>
      <c r="O1114" s="3"/>
      <c r="P1114" s="10"/>
    </row>
    <row r="1115" spans="1:16" x14ac:dyDescent="0.15">
      <c r="A1115" s="10"/>
      <c r="B1115" s="3"/>
      <c r="C1115" s="10"/>
      <c r="D1115" s="10"/>
      <c r="E1115" s="10"/>
      <c r="F1115" s="10"/>
      <c r="G1115" s="10"/>
      <c r="H1115" s="10"/>
      <c r="I1115" s="10"/>
      <c r="J1115" s="10"/>
      <c r="K1115" s="10"/>
      <c r="L1115" s="10"/>
      <c r="M1115" s="10"/>
      <c r="N1115" s="10"/>
      <c r="O1115" s="3"/>
      <c r="P1115" s="10"/>
    </row>
    <row r="1116" spans="1:16" x14ac:dyDescent="0.15">
      <c r="A1116" s="10"/>
      <c r="B1116" s="3"/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/>
      <c r="N1116" s="10"/>
      <c r="O1116" s="3"/>
      <c r="P1116" s="10"/>
    </row>
    <row r="1117" spans="1:16" x14ac:dyDescent="0.15">
      <c r="A1117" s="10"/>
      <c r="B1117" s="3"/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/>
      <c r="N1117" s="10"/>
      <c r="O1117" s="3"/>
      <c r="P1117" s="10"/>
    </row>
    <row r="1118" spans="1:16" x14ac:dyDescent="0.15">
      <c r="A1118" s="10"/>
      <c r="B1118" s="3"/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/>
      <c r="N1118" s="10"/>
      <c r="O1118" s="3"/>
      <c r="P1118" s="10"/>
    </row>
    <row r="1119" spans="1:16" x14ac:dyDescent="0.15">
      <c r="A1119" s="10"/>
      <c r="B1119" s="3"/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/>
      <c r="N1119" s="10"/>
      <c r="O1119" s="3"/>
      <c r="P1119" s="10"/>
    </row>
    <row r="1120" spans="1:16" x14ac:dyDescent="0.15">
      <c r="A1120" s="10"/>
      <c r="B1120" s="3"/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/>
      <c r="N1120" s="10"/>
      <c r="O1120" s="3"/>
      <c r="P1120" s="10"/>
    </row>
    <row r="1121" spans="1:16" x14ac:dyDescent="0.15">
      <c r="A1121" s="10"/>
      <c r="B1121" s="3"/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/>
      <c r="N1121" s="10"/>
      <c r="O1121" s="3"/>
      <c r="P1121" s="10"/>
    </row>
    <row r="1122" spans="1:16" x14ac:dyDescent="0.15">
      <c r="A1122" s="10"/>
      <c r="B1122" s="3"/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/>
      <c r="N1122" s="10"/>
      <c r="O1122" s="3"/>
      <c r="P1122" s="10"/>
    </row>
    <row r="1123" spans="1:16" x14ac:dyDescent="0.15">
      <c r="A1123" s="10"/>
      <c r="B1123" s="3"/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/>
      <c r="N1123" s="10"/>
      <c r="O1123" s="3"/>
      <c r="P1123" s="10"/>
    </row>
    <row r="1124" spans="1:16" x14ac:dyDescent="0.15">
      <c r="A1124" s="10"/>
      <c r="B1124" s="3"/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/>
      <c r="N1124" s="10"/>
      <c r="O1124" s="3"/>
      <c r="P1124" s="10"/>
    </row>
    <row r="1125" spans="1:16" x14ac:dyDescent="0.15">
      <c r="A1125" s="10"/>
      <c r="B1125" s="3"/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/>
      <c r="N1125" s="10"/>
      <c r="O1125" s="3"/>
      <c r="P1125" s="10"/>
    </row>
    <row r="1126" spans="1:16" x14ac:dyDescent="0.15">
      <c r="A1126" s="10"/>
      <c r="B1126" s="3"/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/>
      <c r="N1126" s="10"/>
      <c r="O1126" s="3"/>
      <c r="P1126" s="10"/>
    </row>
    <row r="1127" spans="1:16" x14ac:dyDescent="0.15">
      <c r="A1127" s="10"/>
      <c r="B1127" s="3"/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/>
      <c r="N1127" s="10"/>
      <c r="O1127" s="3"/>
      <c r="P1127" s="10"/>
    </row>
    <row r="1128" spans="1:16" x14ac:dyDescent="0.15">
      <c r="A1128" s="10"/>
      <c r="B1128" s="3"/>
      <c r="C1128" s="10"/>
      <c r="D1128" s="10"/>
      <c r="E1128" s="10"/>
      <c r="F1128" s="10"/>
      <c r="G1128" s="10"/>
      <c r="H1128" s="10"/>
      <c r="I1128" s="10"/>
      <c r="J1128" s="10"/>
      <c r="K1128" s="10"/>
      <c r="L1128" s="10"/>
      <c r="M1128" s="10"/>
      <c r="N1128" s="10"/>
      <c r="O1128" s="3"/>
      <c r="P1128" s="10"/>
    </row>
    <row r="1129" spans="1:16" x14ac:dyDescent="0.15">
      <c r="A1129" s="10"/>
      <c r="B1129" s="3"/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/>
      <c r="N1129" s="10"/>
      <c r="O1129" s="3"/>
      <c r="P1129" s="10"/>
    </row>
    <row r="1130" spans="1:16" x14ac:dyDescent="0.15">
      <c r="A1130" s="10"/>
      <c r="B1130" s="3"/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/>
      <c r="N1130" s="10"/>
      <c r="O1130" s="3"/>
      <c r="P1130" s="10"/>
    </row>
    <row r="1131" spans="1:16" x14ac:dyDescent="0.15">
      <c r="A1131" s="10"/>
      <c r="B1131" s="3"/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/>
      <c r="N1131" s="10"/>
      <c r="O1131" s="3"/>
      <c r="P1131" s="10"/>
    </row>
    <row r="1132" spans="1:16" x14ac:dyDescent="0.15">
      <c r="A1132" s="10"/>
      <c r="B1132" s="3"/>
      <c r="C1132" s="10"/>
      <c r="D1132" s="10"/>
      <c r="E1132" s="10"/>
      <c r="F1132" s="10"/>
      <c r="G1132" s="10"/>
      <c r="H1132" s="10"/>
      <c r="I1132" s="10"/>
      <c r="J1132" s="10"/>
      <c r="K1132" s="10"/>
      <c r="L1132" s="10"/>
      <c r="M1132" s="10"/>
      <c r="N1132" s="10"/>
      <c r="O1132" s="3"/>
      <c r="P1132" s="10"/>
    </row>
    <row r="1133" spans="1:16" x14ac:dyDescent="0.15">
      <c r="A1133" s="10"/>
      <c r="B1133" s="3"/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/>
      <c r="N1133" s="10"/>
      <c r="O1133" s="3"/>
      <c r="P1133" s="10"/>
    </row>
    <row r="1134" spans="1:16" x14ac:dyDescent="0.15">
      <c r="A1134" s="10"/>
      <c r="B1134" s="3"/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/>
      <c r="N1134" s="10"/>
      <c r="O1134" s="3"/>
      <c r="P1134" s="10"/>
    </row>
    <row r="1135" spans="1:16" x14ac:dyDescent="0.15">
      <c r="A1135" s="10"/>
      <c r="B1135" s="3"/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/>
      <c r="N1135" s="10"/>
      <c r="O1135" s="3"/>
      <c r="P1135" s="10"/>
    </row>
    <row r="1136" spans="1:16" x14ac:dyDescent="0.15">
      <c r="A1136" s="10"/>
      <c r="B1136" s="3"/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/>
      <c r="N1136" s="10"/>
      <c r="O1136" s="3"/>
      <c r="P1136" s="10"/>
    </row>
    <row r="1137" spans="1:16" x14ac:dyDescent="0.15">
      <c r="A1137" s="10"/>
      <c r="B1137" s="3"/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/>
      <c r="N1137" s="10"/>
      <c r="O1137" s="3"/>
      <c r="P1137" s="10"/>
    </row>
    <row r="1138" spans="1:16" x14ac:dyDescent="0.15">
      <c r="A1138" s="10"/>
      <c r="B1138" s="3"/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/>
      <c r="N1138" s="10"/>
      <c r="O1138" s="3"/>
      <c r="P1138" s="10"/>
    </row>
    <row r="1139" spans="1:16" x14ac:dyDescent="0.15">
      <c r="A1139" s="10"/>
      <c r="B1139" s="3"/>
      <c r="C1139" s="10"/>
      <c r="D1139" s="10"/>
      <c r="E1139" s="10"/>
      <c r="F1139" s="10"/>
      <c r="G1139" s="10"/>
      <c r="H1139" s="10"/>
      <c r="I1139" s="10"/>
      <c r="J1139" s="10"/>
      <c r="K1139" s="10"/>
      <c r="L1139" s="10"/>
      <c r="M1139" s="10"/>
      <c r="N1139" s="10"/>
      <c r="O1139" s="3"/>
      <c r="P1139" s="10"/>
    </row>
    <row r="1140" spans="1:16" x14ac:dyDescent="0.15">
      <c r="A1140" s="10"/>
      <c r="B1140" s="3"/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/>
      <c r="N1140" s="10"/>
      <c r="O1140" s="3"/>
      <c r="P1140" s="10"/>
    </row>
    <row r="1141" spans="1:16" x14ac:dyDescent="0.15">
      <c r="A1141" s="10"/>
      <c r="B1141" s="3"/>
      <c r="C1141" s="10"/>
      <c r="D1141" s="10"/>
      <c r="E1141" s="10"/>
      <c r="F1141" s="10"/>
      <c r="G1141" s="10"/>
      <c r="H1141" s="10"/>
      <c r="I1141" s="10"/>
      <c r="J1141" s="10"/>
      <c r="K1141" s="10"/>
      <c r="L1141" s="10"/>
      <c r="M1141" s="10"/>
      <c r="N1141" s="10"/>
      <c r="O1141" s="3"/>
      <c r="P1141" s="10"/>
    </row>
    <row r="1142" spans="1:16" x14ac:dyDescent="0.15">
      <c r="A1142" s="10"/>
      <c r="B1142" s="3"/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/>
      <c r="N1142" s="10"/>
      <c r="O1142" s="3"/>
      <c r="P1142" s="10"/>
    </row>
    <row r="1143" spans="1:16" x14ac:dyDescent="0.15">
      <c r="A1143" s="10"/>
      <c r="B1143" s="3"/>
      <c r="C1143" s="10"/>
      <c r="D1143" s="10"/>
      <c r="E1143" s="10"/>
      <c r="F1143" s="10"/>
      <c r="G1143" s="10"/>
      <c r="H1143" s="10"/>
      <c r="I1143" s="10"/>
      <c r="J1143" s="10"/>
      <c r="K1143" s="10"/>
      <c r="L1143" s="10"/>
      <c r="M1143" s="10"/>
      <c r="N1143" s="10"/>
      <c r="O1143" s="3"/>
      <c r="P1143" s="10"/>
    </row>
    <row r="1144" spans="1:16" x14ac:dyDescent="0.15">
      <c r="A1144" s="10"/>
      <c r="B1144" s="3"/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/>
      <c r="N1144" s="10"/>
      <c r="O1144" s="3"/>
      <c r="P1144" s="10"/>
    </row>
    <row r="1145" spans="1:16" x14ac:dyDescent="0.15">
      <c r="A1145" s="10"/>
      <c r="B1145" s="3"/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/>
      <c r="N1145" s="10"/>
      <c r="O1145" s="3"/>
      <c r="P1145" s="10"/>
    </row>
    <row r="1146" spans="1:16" x14ac:dyDescent="0.15">
      <c r="A1146" s="10"/>
      <c r="B1146" s="3"/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/>
      <c r="N1146" s="10"/>
      <c r="O1146" s="3"/>
      <c r="P1146" s="10"/>
    </row>
    <row r="1147" spans="1:16" x14ac:dyDescent="0.15">
      <c r="A1147" s="10"/>
      <c r="B1147" s="3"/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/>
      <c r="N1147" s="10"/>
      <c r="O1147" s="3"/>
      <c r="P1147" s="10"/>
    </row>
    <row r="1148" spans="1:16" x14ac:dyDescent="0.15">
      <c r="A1148" s="10"/>
      <c r="B1148" s="3"/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/>
      <c r="N1148" s="10"/>
      <c r="O1148" s="3"/>
      <c r="P1148" s="10"/>
    </row>
    <row r="1149" spans="1:16" x14ac:dyDescent="0.15">
      <c r="A1149" s="10"/>
      <c r="B1149" s="3"/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/>
      <c r="N1149" s="10"/>
      <c r="O1149" s="3"/>
      <c r="P1149" s="10"/>
    </row>
    <row r="1150" spans="1:16" x14ac:dyDescent="0.15">
      <c r="A1150" s="10"/>
      <c r="B1150" s="3"/>
      <c r="C1150" s="10"/>
      <c r="D1150" s="10"/>
      <c r="E1150" s="10"/>
      <c r="F1150" s="10"/>
      <c r="G1150" s="10"/>
      <c r="H1150" s="10"/>
      <c r="I1150" s="10"/>
      <c r="J1150" s="10"/>
      <c r="K1150" s="10"/>
      <c r="L1150" s="10"/>
      <c r="M1150" s="10"/>
      <c r="N1150" s="10"/>
      <c r="O1150" s="3"/>
      <c r="P1150" s="10"/>
    </row>
    <row r="1151" spans="1:16" x14ac:dyDescent="0.15">
      <c r="A1151" s="10"/>
      <c r="B1151" s="3"/>
      <c r="C1151" s="10"/>
      <c r="D1151" s="10"/>
      <c r="E1151" s="10"/>
      <c r="F1151" s="10"/>
      <c r="G1151" s="10"/>
      <c r="H1151" s="10"/>
      <c r="I1151" s="10"/>
      <c r="J1151" s="10"/>
      <c r="K1151" s="10"/>
      <c r="L1151" s="10"/>
      <c r="M1151" s="10"/>
      <c r="N1151" s="10"/>
      <c r="O1151" s="3"/>
      <c r="P1151" s="10"/>
    </row>
    <row r="1152" spans="1:16" x14ac:dyDescent="0.15">
      <c r="A1152" s="10"/>
      <c r="B1152" s="3"/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/>
      <c r="N1152" s="10"/>
      <c r="O1152" s="3"/>
      <c r="P1152" s="10"/>
    </row>
    <row r="1153" spans="1:16" x14ac:dyDescent="0.15">
      <c r="A1153" s="10"/>
      <c r="B1153" s="3"/>
      <c r="C1153" s="10"/>
      <c r="D1153" s="10"/>
      <c r="E1153" s="10"/>
      <c r="F1153" s="10"/>
      <c r="G1153" s="10"/>
      <c r="H1153" s="10"/>
      <c r="I1153" s="10"/>
      <c r="J1153" s="10"/>
      <c r="K1153" s="10"/>
      <c r="L1153" s="10"/>
      <c r="M1153" s="10"/>
      <c r="N1153" s="10"/>
      <c r="O1153" s="3"/>
      <c r="P1153" s="10"/>
    </row>
    <row r="1154" spans="1:16" x14ac:dyDescent="0.15">
      <c r="A1154" s="10"/>
      <c r="B1154" s="3"/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/>
      <c r="N1154" s="10"/>
      <c r="O1154" s="3"/>
      <c r="P1154" s="10"/>
    </row>
    <row r="1155" spans="1:16" x14ac:dyDescent="0.15">
      <c r="A1155" s="10"/>
      <c r="B1155" s="3"/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/>
      <c r="N1155" s="10"/>
      <c r="O1155" s="3"/>
      <c r="P1155" s="10"/>
    </row>
    <row r="1156" spans="1:16" x14ac:dyDescent="0.15">
      <c r="A1156" s="10"/>
      <c r="B1156" s="3"/>
      <c r="C1156" s="10"/>
      <c r="D1156" s="10"/>
      <c r="E1156" s="10"/>
      <c r="F1156" s="10"/>
      <c r="G1156" s="10"/>
      <c r="H1156" s="10"/>
      <c r="I1156" s="10"/>
      <c r="J1156" s="10"/>
      <c r="K1156" s="10"/>
      <c r="L1156" s="10"/>
      <c r="M1156" s="10"/>
      <c r="N1156" s="10"/>
      <c r="O1156" s="3"/>
      <c r="P1156" s="10"/>
    </row>
    <row r="1157" spans="1:16" x14ac:dyDescent="0.15">
      <c r="A1157" s="10"/>
      <c r="B1157" s="3"/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/>
      <c r="N1157" s="10"/>
      <c r="O1157" s="3"/>
      <c r="P1157" s="10"/>
    </row>
    <row r="1158" spans="1:16" x14ac:dyDescent="0.15">
      <c r="A1158" s="10"/>
      <c r="B1158" s="3"/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/>
      <c r="N1158" s="10"/>
      <c r="O1158" s="3"/>
      <c r="P1158" s="10"/>
    </row>
    <row r="1159" spans="1:16" x14ac:dyDescent="0.15">
      <c r="A1159" s="10"/>
      <c r="B1159" s="3"/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/>
      <c r="N1159" s="10"/>
      <c r="O1159" s="3"/>
      <c r="P1159" s="10"/>
    </row>
    <row r="1160" spans="1:16" x14ac:dyDescent="0.15">
      <c r="A1160" s="10"/>
      <c r="B1160" s="3"/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/>
      <c r="N1160" s="10"/>
      <c r="O1160" s="3"/>
      <c r="P1160" s="10"/>
    </row>
    <row r="1161" spans="1:16" x14ac:dyDescent="0.15">
      <c r="A1161" s="10"/>
      <c r="B1161" s="3"/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/>
      <c r="N1161" s="10"/>
      <c r="O1161" s="3"/>
      <c r="P1161" s="10"/>
    </row>
    <row r="1162" spans="1:16" x14ac:dyDescent="0.15">
      <c r="A1162" s="10"/>
      <c r="B1162" s="3"/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/>
      <c r="N1162" s="10"/>
      <c r="O1162" s="3"/>
      <c r="P1162" s="10"/>
    </row>
    <row r="1163" spans="1:16" x14ac:dyDescent="0.15">
      <c r="A1163" s="10"/>
      <c r="B1163" s="3"/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/>
      <c r="N1163" s="10"/>
      <c r="O1163" s="3"/>
      <c r="P1163" s="10"/>
    </row>
    <row r="1164" spans="1:16" x14ac:dyDescent="0.15">
      <c r="A1164" s="10"/>
      <c r="B1164" s="3"/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/>
      <c r="N1164" s="10"/>
      <c r="O1164" s="3"/>
      <c r="P1164" s="10"/>
    </row>
    <row r="1165" spans="1:16" x14ac:dyDescent="0.15">
      <c r="A1165" s="10"/>
      <c r="B1165" s="3"/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/>
      <c r="N1165" s="10"/>
      <c r="O1165" s="3"/>
      <c r="P1165" s="10"/>
    </row>
    <row r="1166" spans="1:16" x14ac:dyDescent="0.15">
      <c r="A1166" s="10"/>
      <c r="B1166" s="3"/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/>
      <c r="N1166" s="10"/>
      <c r="O1166" s="3"/>
      <c r="P1166" s="10"/>
    </row>
    <row r="1167" spans="1:16" x14ac:dyDescent="0.15">
      <c r="A1167" s="10"/>
      <c r="B1167" s="3"/>
      <c r="C1167" s="10"/>
      <c r="D1167" s="10"/>
      <c r="E1167" s="10"/>
      <c r="F1167" s="10"/>
      <c r="G1167" s="10"/>
      <c r="H1167" s="10"/>
      <c r="I1167" s="10"/>
      <c r="J1167" s="10"/>
      <c r="K1167" s="10"/>
      <c r="L1167" s="10"/>
      <c r="M1167" s="10"/>
      <c r="N1167" s="10"/>
      <c r="O1167" s="3"/>
      <c r="P1167" s="10"/>
    </row>
    <row r="1168" spans="1:16" x14ac:dyDescent="0.15">
      <c r="A1168" s="10"/>
      <c r="B1168" s="3"/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/>
      <c r="N1168" s="10"/>
      <c r="O1168" s="3"/>
      <c r="P1168" s="10"/>
    </row>
    <row r="1169" spans="1:16" x14ac:dyDescent="0.15">
      <c r="A1169" s="10"/>
      <c r="B1169" s="3"/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/>
      <c r="N1169" s="10"/>
      <c r="O1169" s="3"/>
      <c r="P1169" s="10"/>
    </row>
    <row r="1170" spans="1:16" x14ac:dyDescent="0.15">
      <c r="A1170" s="10"/>
      <c r="B1170" s="3"/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/>
      <c r="N1170" s="10"/>
      <c r="O1170" s="3"/>
      <c r="P1170" s="10"/>
    </row>
    <row r="1171" spans="1:16" x14ac:dyDescent="0.15">
      <c r="A1171" s="10"/>
      <c r="B1171" s="3"/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/>
      <c r="N1171" s="10"/>
      <c r="O1171" s="3"/>
      <c r="P1171" s="10"/>
    </row>
    <row r="1172" spans="1:16" x14ac:dyDescent="0.15">
      <c r="A1172" s="10"/>
      <c r="B1172" s="3"/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/>
      <c r="N1172" s="10"/>
      <c r="O1172" s="3"/>
      <c r="P1172" s="10"/>
    </row>
    <row r="1173" spans="1:16" x14ac:dyDescent="0.15">
      <c r="A1173" s="10"/>
      <c r="B1173" s="3"/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/>
      <c r="N1173" s="10"/>
      <c r="O1173" s="3"/>
      <c r="P1173" s="10"/>
    </row>
    <row r="1174" spans="1:16" x14ac:dyDescent="0.15">
      <c r="A1174" s="10"/>
      <c r="B1174" s="3"/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/>
      <c r="N1174" s="10"/>
      <c r="O1174" s="3"/>
      <c r="P1174" s="10"/>
    </row>
    <row r="1175" spans="1:16" x14ac:dyDescent="0.15">
      <c r="A1175" s="10"/>
      <c r="B1175" s="3"/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/>
      <c r="N1175" s="10"/>
      <c r="O1175" s="3"/>
      <c r="P1175" s="10"/>
    </row>
    <row r="1176" spans="1:16" x14ac:dyDescent="0.15">
      <c r="A1176" s="10"/>
      <c r="B1176" s="3"/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/>
      <c r="N1176" s="10"/>
      <c r="O1176" s="3"/>
      <c r="P1176" s="10"/>
    </row>
    <row r="1177" spans="1:16" x14ac:dyDescent="0.15">
      <c r="A1177" s="10"/>
      <c r="B1177" s="3"/>
      <c r="C1177" s="10"/>
      <c r="D1177" s="10"/>
      <c r="E1177" s="10"/>
      <c r="F1177" s="10"/>
      <c r="G1177" s="10"/>
      <c r="H1177" s="10"/>
      <c r="I1177" s="10"/>
      <c r="J1177" s="10"/>
      <c r="K1177" s="10"/>
      <c r="L1177" s="10"/>
      <c r="M1177" s="10"/>
      <c r="N1177" s="10"/>
      <c r="O1177" s="3"/>
      <c r="P1177" s="10"/>
    </row>
    <row r="1178" spans="1:16" x14ac:dyDescent="0.15">
      <c r="A1178" s="10"/>
      <c r="B1178" s="3"/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/>
      <c r="N1178" s="10"/>
      <c r="O1178" s="3"/>
      <c r="P1178" s="10"/>
    </row>
    <row r="1179" spans="1:16" x14ac:dyDescent="0.15">
      <c r="A1179" s="10"/>
      <c r="B1179" s="3"/>
      <c r="C1179" s="10"/>
      <c r="D1179" s="10"/>
      <c r="E1179" s="10"/>
      <c r="F1179" s="10"/>
      <c r="G1179" s="10"/>
      <c r="H1179" s="10"/>
      <c r="I1179" s="10"/>
      <c r="J1179" s="10"/>
      <c r="K1179" s="10"/>
      <c r="L1179" s="10"/>
      <c r="M1179" s="10"/>
      <c r="N1179" s="10"/>
      <c r="O1179" s="3"/>
      <c r="P1179" s="10"/>
    </row>
    <row r="1180" spans="1:16" x14ac:dyDescent="0.15">
      <c r="A1180" s="10"/>
      <c r="B1180" s="3"/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/>
      <c r="N1180" s="10"/>
      <c r="O1180" s="3"/>
      <c r="P1180" s="10"/>
    </row>
    <row r="1181" spans="1:16" x14ac:dyDescent="0.15">
      <c r="A1181" s="10"/>
      <c r="B1181" s="3"/>
      <c r="C1181" s="10"/>
      <c r="D1181" s="10"/>
      <c r="E1181" s="10"/>
      <c r="F1181" s="10"/>
      <c r="G1181" s="10"/>
      <c r="H1181" s="10"/>
      <c r="I1181" s="10"/>
      <c r="J1181" s="10"/>
      <c r="K1181" s="10"/>
      <c r="L1181" s="10"/>
      <c r="M1181" s="10"/>
      <c r="N1181" s="10"/>
      <c r="O1181" s="3"/>
      <c r="P1181" s="10"/>
    </row>
    <row r="1182" spans="1:16" x14ac:dyDescent="0.15">
      <c r="A1182" s="10"/>
      <c r="B1182" s="3"/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/>
      <c r="N1182" s="10"/>
      <c r="O1182" s="3"/>
      <c r="P1182" s="10"/>
    </row>
    <row r="1183" spans="1:16" x14ac:dyDescent="0.15">
      <c r="A1183" s="10"/>
      <c r="B1183" s="3"/>
      <c r="C1183" s="10"/>
      <c r="D1183" s="10"/>
      <c r="E1183" s="10"/>
      <c r="F1183" s="10"/>
      <c r="G1183" s="10"/>
      <c r="H1183" s="10"/>
      <c r="I1183" s="10"/>
      <c r="J1183" s="10"/>
      <c r="K1183" s="10"/>
      <c r="L1183" s="10"/>
      <c r="M1183" s="10"/>
      <c r="N1183" s="10"/>
      <c r="O1183" s="3"/>
      <c r="P1183" s="10"/>
    </row>
    <row r="1184" spans="1:16" x14ac:dyDescent="0.15">
      <c r="A1184" s="10"/>
      <c r="B1184" s="3"/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/>
      <c r="N1184" s="10"/>
      <c r="O1184" s="3"/>
      <c r="P1184" s="10"/>
    </row>
    <row r="1185" spans="1:16" x14ac:dyDescent="0.15">
      <c r="A1185" s="10"/>
      <c r="B1185" s="3"/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/>
      <c r="N1185" s="10"/>
      <c r="O1185" s="3"/>
      <c r="P1185" s="10"/>
    </row>
    <row r="1186" spans="1:16" x14ac:dyDescent="0.15">
      <c r="A1186" s="10"/>
      <c r="B1186" s="3"/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/>
      <c r="N1186" s="10"/>
      <c r="O1186" s="3"/>
      <c r="P1186" s="10"/>
    </row>
    <row r="1187" spans="1:16" x14ac:dyDescent="0.15">
      <c r="A1187" s="10"/>
      <c r="B1187" s="3"/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/>
      <c r="N1187" s="10"/>
      <c r="O1187" s="3"/>
      <c r="P1187" s="10"/>
    </row>
    <row r="1188" spans="1:16" x14ac:dyDescent="0.15">
      <c r="A1188" s="10"/>
      <c r="B1188" s="3"/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/>
      <c r="N1188" s="10"/>
      <c r="O1188" s="3"/>
      <c r="P1188" s="10"/>
    </row>
    <row r="1189" spans="1:16" x14ac:dyDescent="0.15">
      <c r="A1189" s="10"/>
      <c r="B1189" s="3"/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/>
      <c r="N1189" s="10"/>
      <c r="O1189" s="3"/>
      <c r="P1189" s="10"/>
    </row>
    <row r="1190" spans="1:16" x14ac:dyDescent="0.15">
      <c r="A1190" s="10"/>
      <c r="B1190" s="3"/>
      <c r="C1190" s="10"/>
      <c r="D1190" s="10"/>
      <c r="E1190" s="10"/>
      <c r="F1190" s="10"/>
      <c r="G1190" s="10"/>
      <c r="H1190" s="10"/>
      <c r="I1190" s="10"/>
      <c r="J1190" s="10"/>
      <c r="K1190" s="10"/>
      <c r="L1190" s="10"/>
      <c r="M1190" s="10"/>
      <c r="N1190" s="10"/>
      <c r="O1190" s="3"/>
      <c r="P1190" s="10"/>
    </row>
    <row r="1191" spans="1:16" x14ac:dyDescent="0.15">
      <c r="A1191" s="10"/>
      <c r="B1191" s="3"/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/>
      <c r="N1191" s="10"/>
      <c r="O1191" s="3"/>
      <c r="P1191" s="10"/>
    </row>
    <row r="1192" spans="1:16" x14ac:dyDescent="0.15">
      <c r="A1192" s="10"/>
      <c r="B1192" s="3"/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/>
      <c r="N1192" s="10"/>
      <c r="O1192" s="3"/>
      <c r="P1192" s="10"/>
    </row>
    <row r="1193" spans="1:16" x14ac:dyDescent="0.15">
      <c r="A1193" s="10"/>
      <c r="B1193" s="3"/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/>
      <c r="N1193" s="10"/>
      <c r="O1193" s="3"/>
      <c r="P1193" s="10"/>
    </row>
    <row r="1194" spans="1:16" x14ac:dyDescent="0.15">
      <c r="A1194" s="10"/>
      <c r="B1194" s="3"/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/>
      <c r="N1194" s="10"/>
      <c r="O1194" s="3"/>
      <c r="P1194" s="10"/>
    </row>
    <row r="1195" spans="1:16" x14ac:dyDescent="0.15">
      <c r="A1195" s="10"/>
      <c r="B1195" s="3"/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/>
      <c r="N1195" s="10"/>
      <c r="O1195" s="3"/>
      <c r="P1195" s="10"/>
    </row>
    <row r="1196" spans="1:16" x14ac:dyDescent="0.15">
      <c r="A1196" s="10"/>
      <c r="B1196" s="3"/>
      <c r="C1196" s="10"/>
      <c r="D1196" s="10"/>
      <c r="E1196" s="10"/>
      <c r="F1196" s="10"/>
      <c r="G1196" s="10"/>
      <c r="H1196" s="10"/>
      <c r="I1196" s="10"/>
      <c r="J1196" s="10"/>
      <c r="K1196" s="10"/>
      <c r="L1196" s="10"/>
      <c r="M1196" s="10"/>
      <c r="N1196" s="10"/>
      <c r="O1196" s="3"/>
      <c r="P1196" s="10"/>
    </row>
    <row r="1197" spans="1:16" x14ac:dyDescent="0.15">
      <c r="A1197" s="10"/>
      <c r="B1197" s="3"/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/>
      <c r="N1197" s="10"/>
      <c r="O1197" s="3"/>
      <c r="P1197" s="10"/>
    </row>
    <row r="1198" spans="1:16" x14ac:dyDescent="0.15">
      <c r="A1198" s="10"/>
      <c r="B1198" s="3"/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/>
      <c r="N1198" s="10"/>
      <c r="O1198" s="3"/>
      <c r="P1198" s="10"/>
    </row>
    <row r="1199" spans="1:16" x14ac:dyDescent="0.15">
      <c r="A1199" s="10"/>
      <c r="B1199" s="3"/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/>
      <c r="N1199" s="10"/>
      <c r="O1199" s="3"/>
      <c r="P1199" s="10"/>
    </row>
    <row r="1200" spans="1:16" x14ac:dyDescent="0.15">
      <c r="A1200" s="10"/>
      <c r="B1200" s="3"/>
      <c r="C1200" s="10"/>
      <c r="D1200" s="10"/>
      <c r="E1200" s="10"/>
      <c r="F1200" s="10"/>
      <c r="G1200" s="10"/>
      <c r="H1200" s="10"/>
      <c r="I1200" s="10"/>
      <c r="J1200" s="10"/>
      <c r="K1200" s="10"/>
      <c r="L1200" s="10"/>
      <c r="M1200" s="10"/>
      <c r="N1200" s="10"/>
      <c r="O1200" s="3"/>
      <c r="P1200" s="10"/>
    </row>
    <row r="1201" spans="1:16" x14ac:dyDescent="0.15">
      <c r="A1201" s="10"/>
      <c r="B1201" s="3"/>
      <c r="C1201" s="10"/>
      <c r="D1201" s="10"/>
      <c r="E1201" s="10"/>
      <c r="F1201" s="10"/>
      <c r="G1201" s="10"/>
      <c r="H1201" s="10"/>
      <c r="I1201" s="10"/>
      <c r="J1201" s="10"/>
      <c r="K1201" s="10"/>
      <c r="L1201" s="10"/>
      <c r="M1201" s="10"/>
      <c r="N1201" s="10"/>
      <c r="O1201" s="3"/>
      <c r="P1201" s="10"/>
    </row>
    <row r="1202" spans="1:16" x14ac:dyDescent="0.15">
      <c r="A1202" s="10"/>
      <c r="B1202" s="3"/>
      <c r="C1202" s="10"/>
      <c r="D1202" s="10"/>
      <c r="E1202" s="10"/>
      <c r="F1202" s="10"/>
      <c r="G1202" s="10"/>
      <c r="H1202" s="10"/>
      <c r="I1202" s="10"/>
      <c r="J1202" s="10"/>
      <c r="K1202" s="10"/>
      <c r="L1202" s="10"/>
      <c r="M1202" s="10"/>
      <c r="N1202" s="10"/>
      <c r="O1202" s="3"/>
      <c r="P1202" s="10"/>
    </row>
    <row r="1203" spans="1:16" x14ac:dyDescent="0.15">
      <c r="A1203" s="10"/>
      <c r="B1203" s="3"/>
      <c r="C1203" s="10"/>
      <c r="D1203" s="10"/>
      <c r="E1203" s="10"/>
      <c r="F1203" s="10"/>
      <c r="G1203" s="10"/>
      <c r="H1203" s="10"/>
      <c r="I1203" s="10"/>
      <c r="J1203" s="10"/>
      <c r="K1203" s="10"/>
      <c r="L1203" s="10"/>
      <c r="M1203" s="10"/>
      <c r="N1203" s="10"/>
      <c r="O1203" s="3"/>
      <c r="P1203" s="10"/>
    </row>
    <row r="1204" spans="1:16" x14ac:dyDescent="0.15">
      <c r="A1204" s="10"/>
      <c r="B1204" s="3"/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/>
      <c r="N1204" s="10"/>
      <c r="O1204" s="3"/>
      <c r="P1204" s="10"/>
    </row>
    <row r="1205" spans="1:16" x14ac:dyDescent="0.15">
      <c r="A1205" s="10"/>
      <c r="B1205" s="3"/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/>
      <c r="N1205" s="10"/>
      <c r="O1205" s="3"/>
      <c r="P1205" s="10"/>
    </row>
    <row r="1206" spans="1:16" x14ac:dyDescent="0.15">
      <c r="A1206" s="10"/>
      <c r="B1206" s="3"/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/>
      <c r="N1206" s="10"/>
      <c r="O1206" s="3"/>
      <c r="P1206" s="10"/>
    </row>
    <row r="1207" spans="1:16" x14ac:dyDescent="0.15">
      <c r="A1207" s="10"/>
      <c r="B1207" s="3"/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/>
      <c r="N1207" s="10"/>
      <c r="O1207" s="3"/>
      <c r="P1207" s="10"/>
    </row>
    <row r="1208" spans="1:16" x14ac:dyDescent="0.15">
      <c r="A1208" s="10"/>
      <c r="B1208" s="3"/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/>
      <c r="N1208" s="10"/>
      <c r="O1208" s="3"/>
      <c r="P1208" s="10"/>
    </row>
    <row r="1209" spans="1:16" x14ac:dyDescent="0.15">
      <c r="A1209" s="10"/>
      <c r="B1209" s="3"/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3"/>
      <c r="P1209" s="10"/>
    </row>
    <row r="1210" spans="1:16" x14ac:dyDescent="0.15">
      <c r="A1210" s="10"/>
      <c r="B1210" s="3"/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/>
      <c r="N1210" s="10"/>
      <c r="O1210" s="3"/>
      <c r="P1210" s="10"/>
    </row>
    <row r="1211" spans="1:16" x14ac:dyDescent="0.15">
      <c r="A1211" s="10"/>
      <c r="B1211" s="3"/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/>
      <c r="N1211" s="10"/>
      <c r="O1211" s="3"/>
      <c r="P1211" s="10"/>
    </row>
    <row r="1212" spans="1:16" x14ac:dyDescent="0.15">
      <c r="A1212" s="10"/>
      <c r="B1212" s="3"/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/>
      <c r="N1212" s="10"/>
      <c r="O1212" s="3"/>
      <c r="P1212" s="10"/>
    </row>
    <row r="1213" spans="1:16" x14ac:dyDescent="0.15">
      <c r="A1213" s="10"/>
      <c r="B1213" s="3"/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/>
      <c r="N1213" s="10"/>
      <c r="O1213" s="3"/>
      <c r="P1213" s="10"/>
    </row>
    <row r="1214" spans="1:16" x14ac:dyDescent="0.15">
      <c r="A1214" s="10"/>
      <c r="B1214" s="3"/>
      <c r="C1214" s="10"/>
      <c r="D1214" s="10"/>
      <c r="E1214" s="10"/>
      <c r="F1214" s="10"/>
      <c r="G1214" s="10"/>
      <c r="H1214" s="10"/>
      <c r="I1214" s="10"/>
      <c r="J1214" s="10"/>
      <c r="K1214" s="10"/>
      <c r="L1214" s="10"/>
      <c r="M1214" s="10"/>
      <c r="N1214" s="10"/>
      <c r="O1214" s="3"/>
      <c r="P1214" s="10"/>
    </row>
    <row r="1215" spans="1:16" x14ac:dyDescent="0.15">
      <c r="A1215" s="10"/>
      <c r="B1215" s="3"/>
      <c r="C1215" s="10"/>
      <c r="D1215" s="10"/>
      <c r="E1215" s="10"/>
      <c r="F1215" s="10"/>
      <c r="G1215" s="10"/>
      <c r="H1215" s="10"/>
      <c r="I1215" s="10"/>
      <c r="J1215" s="10"/>
      <c r="K1215" s="10"/>
      <c r="L1215" s="10"/>
      <c r="M1215" s="10"/>
      <c r="N1215" s="10"/>
      <c r="O1215" s="3"/>
      <c r="P1215" s="10"/>
    </row>
    <row r="1216" spans="1:16" x14ac:dyDescent="0.15">
      <c r="A1216" s="10"/>
      <c r="B1216" s="3"/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/>
      <c r="N1216" s="10"/>
      <c r="O1216" s="3"/>
      <c r="P1216" s="10"/>
    </row>
    <row r="1217" spans="1:16" x14ac:dyDescent="0.15">
      <c r="A1217" s="10"/>
      <c r="B1217" s="3"/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/>
      <c r="N1217" s="10"/>
      <c r="O1217" s="3"/>
      <c r="P1217" s="10"/>
    </row>
    <row r="1218" spans="1:16" x14ac:dyDescent="0.15">
      <c r="A1218" s="10"/>
      <c r="B1218" s="3"/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/>
      <c r="N1218" s="10"/>
      <c r="O1218" s="3"/>
      <c r="P1218" s="10"/>
    </row>
    <row r="1219" spans="1:16" x14ac:dyDescent="0.15">
      <c r="A1219" s="10"/>
      <c r="B1219" s="3"/>
      <c r="C1219" s="10"/>
      <c r="D1219" s="10"/>
      <c r="E1219" s="10"/>
      <c r="F1219" s="10"/>
      <c r="G1219" s="10"/>
      <c r="H1219" s="10"/>
      <c r="I1219" s="10"/>
      <c r="J1219" s="10"/>
      <c r="K1219" s="10"/>
      <c r="L1219" s="10"/>
      <c r="M1219" s="10"/>
      <c r="N1219" s="10"/>
      <c r="O1219" s="3"/>
      <c r="P1219" s="10"/>
    </row>
    <row r="1220" spans="1:16" x14ac:dyDescent="0.15">
      <c r="A1220" s="10"/>
      <c r="B1220" s="3"/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/>
      <c r="N1220" s="10"/>
      <c r="O1220" s="3"/>
      <c r="P1220" s="10"/>
    </row>
    <row r="1221" spans="1:16" x14ac:dyDescent="0.15">
      <c r="A1221" s="10"/>
      <c r="B1221" s="3"/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/>
      <c r="N1221" s="10"/>
      <c r="O1221" s="3"/>
      <c r="P1221" s="10"/>
    </row>
    <row r="1222" spans="1:16" x14ac:dyDescent="0.15">
      <c r="A1222" s="10"/>
      <c r="B1222" s="3"/>
      <c r="C1222" s="10"/>
      <c r="D1222" s="10"/>
      <c r="E1222" s="10"/>
      <c r="F1222" s="10"/>
      <c r="G1222" s="10"/>
      <c r="H1222" s="10"/>
      <c r="I1222" s="10"/>
      <c r="J1222" s="10"/>
      <c r="K1222" s="10"/>
      <c r="L1222" s="10"/>
      <c r="M1222" s="10"/>
      <c r="N1222" s="10"/>
      <c r="O1222" s="3"/>
      <c r="P1222" s="10"/>
    </row>
    <row r="1223" spans="1:16" x14ac:dyDescent="0.15">
      <c r="A1223" s="10"/>
      <c r="B1223" s="3"/>
      <c r="C1223" s="10"/>
      <c r="D1223" s="10"/>
      <c r="E1223" s="10"/>
      <c r="F1223" s="10"/>
      <c r="G1223" s="10"/>
      <c r="H1223" s="10"/>
      <c r="I1223" s="10"/>
      <c r="J1223" s="10"/>
      <c r="K1223" s="10"/>
      <c r="L1223" s="10"/>
      <c r="M1223" s="10"/>
      <c r="N1223" s="10"/>
      <c r="O1223" s="3"/>
      <c r="P1223" s="10"/>
    </row>
    <row r="1224" spans="1:16" x14ac:dyDescent="0.15">
      <c r="A1224" s="10"/>
      <c r="B1224" s="3"/>
      <c r="C1224" s="10"/>
      <c r="D1224" s="10"/>
      <c r="E1224" s="10"/>
      <c r="F1224" s="10"/>
      <c r="G1224" s="10"/>
      <c r="H1224" s="10"/>
      <c r="I1224" s="10"/>
      <c r="J1224" s="10"/>
      <c r="K1224" s="10"/>
      <c r="L1224" s="10"/>
      <c r="M1224" s="10"/>
      <c r="N1224" s="10"/>
      <c r="O1224" s="3"/>
      <c r="P1224" s="10"/>
    </row>
    <row r="1225" spans="1:16" x14ac:dyDescent="0.15">
      <c r="A1225" s="10"/>
      <c r="B1225" s="3"/>
      <c r="C1225" s="10"/>
      <c r="D1225" s="10"/>
      <c r="E1225" s="10"/>
      <c r="F1225" s="10"/>
      <c r="G1225" s="10"/>
      <c r="H1225" s="10"/>
      <c r="I1225" s="10"/>
      <c r="J1225" s="10"/>
      <c r="K1225" s="10"/>
      <c r="L1225" s="10"/>
      <c r="M1225" s="10"/>
      <c r="N1225" s="10"/>
      <c r="O1225" s="3"/>
      <c r="P1225" s="10"/>
    </row>
    <row r="1226" spans="1:16" x14ac:dyDescent="0.15">
      <c r="A1226" s="10"/>
      <c r="B1226" s="3"/>
      <c r="C1226" s="10"/>
      <c r="D1226" s="10"/>
      <c r="E1226" s="10"/>
      <c r="F1226" s="10"/>
      <c r="G1226" s="10"/>
      <c r="H1226" s="10"/>
      <c r="I1226" s="10"/>
      <c r="J1226" s="10"/>
      <c r="K1226" s="10"/>
      <c r="L1226" s="10"/>
      <c r="M1226" s="10"/>
      <c r="N1226" s="10"/>
      <c r="O1226" s="3"/>
      <c r="P1226" s="10"/>
    </row>
    <row r="1227" spans="1:16" x14ac:dyDescent="0.15">
      <c r="A1227" s="10"/>
      <c r="B1227" s="3"/>
      <c r="C1227" s="10"/>
      <c r="D1227" s="10"/>
      <c r="E1227" s="10"/>
      <c r="F1227" s="10"/>
      <c r="G1227" s="10"/>
      <c r="H1227" s="10"/>
      <c r="I1227" s="10"/>
      <c r="J1227" s="10"/>
      <c r="K1227" s="10"/>
      <c r="L1227" s="10"/>
      <c r="M1227" s="10"/>
      <c r="N1227" s="10"/>
      <c r="O1227" s="3"/>
      <c r="P1227" s="10"/>
    </row>
    <row r="1228" spans="1:16" x14ac:dyDescent="0.15">
      <c r="A1228" s="10"/>
      <c r="B1228" s="3"/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/>
      <c r="N1228" s="10"/>
      <c r="O1228" s="3"/>
      <c r="P1228" s="10"/>
    </row>
    <row r="1229" spans="1:16" x14ac:dyDescent="0.15">
      <c r="A1229" s="10"/>
      <c r="B1229" s="3"/>
      <c r="C1229" s="10"/>
      <c r="D1229" s="10"/>
      <c r="E1229" s="10"/>
      <c r="F1229" s="10"/>
      <c r="G1229" s="10"/>
      <c r="H1229" s="10"/>
      <c r="I1229" s="10"/>
      <c r="J1229" s="10"/>
      <c r="K1229" s="10"/>
      <c r="L1229" s="10"/>
      <c r="M1229" s="10"/>
      <c r="N1229" s="10"/>
      <c r="O1229" s="3"/>
      <c r="P1229" s="10"/>
    </row>
    <row r="1230" spans="1:16" x14ac:dyDescent="0.15">
      <c r="A1230" s="10"/>
      <c r="B1230" s="3"/>
      <c r="C1230" s="10"/>
      <c r="D1230" s="10"/>
      <c r="E1230" s="10"/>
      <c r="F1230" s="10"/>
      <c r="G1230" s="10"/>
      <c r="H1230" s="10"/>
      <c r="I1230" s="10"/>
      <c r="J1230" s="10"/>
      <c r="K1230" s="10"/>
      <c r="L1230" s="10"/>
      <c r="M1230" s="10"/>
      <c r="N1230" s="10"/>
      <c r="O1230" s="3"/>
      <c r="P1230" s="10"/>
    </row>
    <row r="1231" spans="1:16" x14ac:dyDescent="0.15">
      <c r="A1231" s="10"/>
      <c r="B1231" s="3"/>
      <c r="C1231" s="10"/>
      <c r="D1231" s="10"/>
      <c r="E1231" s="10"/>
      <c r="F1231" s="10"/>
      <c r="G1231" s="10"/>
      <c r="H1231" s="10"/>
      <c r="I1231" s="10"/>
      <c r="J1231" s="10"/>
      <c r="K1231" s="10"/>
      <c r="L1231" s="10"/>
      <c r="M1231" s="10"/>
      <c r="N1231" s="10"/>
      <c r="O1231" s="3"/>
      <c r="P1231" s="10"/>
    </row>
    <row r="1232" spans="1:16" x14ac:dyDescent="0.15">
      <c r="A1232" s="10"/>
      <c r="B1232" s="3"/>
      <c r="C1232" s="10"/>
      <c r="D1232" s="10"/>
      <c r="E1232" s="10"/>
      <c r="F1232" s="10"/>
      <c r="G1232" s="10"/>
      <c r="H1232" s="10"/>
      <c r="I1232" s="10"/>
      <c r="J1232" s="10"/>
      <c r="K1232" s="10"/>
      <c r="L1232" s="10"/>
      <c r="M1232" s="10"/>
      <c r="N1232" s="10"/>
      <c r="O1232" s="3"/>
      <c r="P1232" s="10"/>
    </row>
    <row r="1233" spans="1:16" x14ac:dyDescent="0.15">
      <c r="A1233" s="10"/>
      <c r="B1233" s="3"/>
      <c r="C1233" s="10"/>
      <c r="D1233" s="10"/>
      <c r="E1233" s="10"/>
      <c r="F1233" s="10"/>
      <c r="G1233" s="10"/>
      <c r="H1233" s="10"/>
      <c r="I1233" s="10"/>
      <c r="J1233" s="10"/>
      <c r="K1233" s="10"/>
      <c r="L1233" s="10"/>
      <c r="M1233" s="10"/>
      <c r="N1233" s="10"/>
      <c r="O1233" s="3"/>
      <c r="P1233" s="10"/>
    </row>
    <row r="1234" spans="1:16" x14ac:dyDescent="0.15">
      <c r="A1234" s="10"/>
      <c r="B1234" s="3"/>
      <c r="C1234" s="10"/>
      <c r="D1234" s="10"/>
      <c r="E1234" s="10"/>
      <c r="F1234" s="10"/>
      <c r="G1234" s="10"/>
      <c r="H1234" s="10"/>
      <c r="I1234" s="10"/>
      <c r="J1234" s="10"/>
      <c r="K1234" s="10"/>
      <c r="L1234" s="10"/>
      <c r="M1234" s="10"/>
      <c r="N1234" s="10"/>
      <c r="O1234" s="3"/>
      <c r="P1234" s="10"/>
    </row>
    <row r="1235" spans="1:16" x14ac:dyDescent="0.15">
      <c r="A1235" s="10"/>
      <c r="B1235" s="3"/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/>
      <c r="N1235" s="10"/>
      <c r="O1235" s="3"/>
      <c r="P1235" s="10"/>
    </row>
    <row r="1236" spans="1:16" x14ac:dyDescent="0.15">
      <c r="A1236" s="10"/>
      <c r="B1236" s="3"/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/>
      <c r="N1236" s="10"/>
      <c r="O1236" s="3"/>
      <c r="P1236" s="10"/>
    </row>
    <row r="1237" spans="1:16" x14ac:dyDescent="0.15">
      <c r="A1237" s="10"/>
      <c r="B1237" s="3"/>
      <c r="C1237" s="10"/>
      <c r="D1237" s="10"/>
      <c r="E1237" s="10"/>
      <c r="F1237" s="10"/>
      <c r="G1237" s="10"/>
      <c r="H1237" s="10"/>
      <c r="I1237" s="10"/>
      <c r="J1237" s="10"/>
      <c r="K1237" s="10"/>
      <c r="L1237" s="10"/>
      <c r="M1237" s="10"/>
      <c r="N1237" s="10"/>
      <c r="O1237" s="3"/>
      <c r="P1237" s="10"/>
    </row>
    <row r="1238" spans="1:16" x14ac:dyDescent="0.15">
      <c r="A1238" s="10"/>
      <c r="B1238" s="3"/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/>
      <c r="N1238" s="10"/>
      <c r="O1238" s="3"/>
      <c r="P1238" s="10"/>
    </row>
    <row r="1239" spans="1:16" x14ac:dyDescent="0.15">
      <c r="A1239" s="10"/>
      <c r="B1239" s="3"/>
      <c r="C1239" s="10"/>
      <c r="D1239" s="10"/>
      <c r="E1239" s="10"/>
      <c r="F1239" s="10"/>
      <c r="G1239" s="10"/>
      <c r="H1239" s="10"/>
      <c r="I1239" s="10"/>
      <c r="J1239" s="10"/>
      <c r="K1239" s="10"/>
      <c r="L1239" s="10"/>
      <c r="M1239" s="10"/>
      <c r="N1239" s="10"/>
      <c r="O1239" s="3"/>
      <c r="P1239" s="10"/>
    </row>
    <row r="1240" spans="1:16" x14ac:dyDescent="0.15">
      <c r="A1240" s="10"/>
      <c r="B1240" s="3"/>
      <c r="C1240" s="10"/>
      <c r="D1240" s="10"/>
      <c r="E1240" s="10"/>
      <c r="F1240" s="10"/>
      <c r="G1240" s="10"/>
      <c r="H1240" s="10"/>
      <c r="I1240" s="10"/>
      <c r="J1240" s="10"/>
      <c r="K1240" s="10"/>
      <c r="L1240" s="10"/>
      <c r="M1240" s="10"/>
      <c r="N1240" s="10"/>
      <c r="O1240" s="3"/>
      <c r="P1240" s="10"/>
    </row>
    <row r="1241" spans="1:16" x14ac:dyDescent="0.15">
      <c r="A1241" s="10"/>
      <c r="B1241" s="3"/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/>
      <c r="N1241" s="10"/>
      <c r="O1241" s="3"/>
      <c r="P1241" s="10"/>
    </row>
    <row r="1242" spans="1:16" x14ac:dyDescent="0.15">
      <c r="A1242" s="10"/>
      <c r="B1242" s="3"/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/>
      <c r="N1242" s="10"/>
      <c r="O1242" s="3"/>
      <c r="P1242" s="10"/>
    </row>
    <row r="1243" spans="1:16" x14ac:dyDescent="0.15">
      <c r="A1243" s="10"/>
      <c r="B1243" s="3"/>
      <c r="C1243" s="10"/>
      <c r="D1243" s="10"/>
      <c r="E1243" s="10"/>
      <c r="F1243" s="10"/>
      <c r="G1243" s="10"/>
      <c r="H1243" s="10"/>
      <c r="I1243" s="10"/>
      <c r="J1243" s="10"/>
      <c r="K1243" s="10"/>
      <c r="L1243" s="10"/>
      <c r="M1243" s="10"/>
      <c r="N1243" s="10"/>
      <c r="O1243" s="3"/>
      <c r="P1243" s="10"/>
    </row>
    <row r="1244" spans="1:16" x14ac:dyDescent="0.15">
      <c r="A1244" s="10"/>
      <c r="B1244" s="3"/>
      <c r="C1244" s="10"/>
      <c r="D1244" s="10"/>
      <c r="E1244" s="10"/>
      <c r="F1244" s="10"/>
      <c r="G1244" s="10"/>
      <c r="H1244" s="10"/>
      <c r="I1244" s="10"/>
      <c r="J1244" s="10"/>
      <c r="K1244" s="10"/>
      <c r="L1244" s="10"/>
      <c r="M1244" s="10"/>
      <c r="N1244" s="10"/>
      <c r="O1244" s="3"/>
      <c r="P1244" s="10"/>
    </row>
    <row r="1245" spans="1:16" x14ac:dyDescent="0.15">
      <c r="A1245" s="10"/>
      <c r="B1245" s="3"/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/>
      <c r="N1245" s="10"/>
      <c r="O1245" s="3"/>
      <c r="P1245" s="10"/>
    </row>
    <row r="1246" spans="1:16" x14ac:dyDescent="0.15">
      <c r="A1246" s="10"/>
      <c r="B1246" s="3"/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/>
      <c r="N1246" s="10"/>
      <c r="O1246" s="3"/>
      <c r="P1246" s="10"/>
    </row>
    <row r="1247" spans="1:16" x14ac:dyDescent="0.15">
      <c r="A1247" s="10"/>
      <c r="B1247" s="3"/>
      <c r="C1247" s="10"/>
      <c r="D1247" s="10"/>
      <c r="E1247" s="10"/>
      <c r="F1247" s="10"/>
      <c r="G1247" s="10"/>
      <c r="H1247" s="10"/>
      <c r="I1247" s="10"/>
      <c r="J1247" s="10"/>
      <c r="K1247" s="10"/>
      <c r="L1247" s="10"/>
      <c r="M1247" s="10"/>
      <c r="N1247" s="10"/>
      <c r="O1247" s="3"/>
      <c r="P1247" s="10"/>
    </row>
    <row r="1248" spans="1:16" x14ac:dyDescent="0.15">
      <c r="A1248" s="10"/>
      <c r="B1248" s="3"/>
      <c r="C1248" s="10"/>
      <c r="D1248" s="10"/>
      <c r="E1248" s="10"/>
      <c r="F1248" s="10"/>
      <c r="G1248" s="10"/>
      <c r="H1248" s="10"/>
      <c r="I1248" s="10"/>
      <c r="J1248" s="10"/>
      <c r="K1248" s="10"/>
      <c r="L1248" s="10"/>
      <c r="M1248" s="10"/>
      <c r="N1248" s="10"/>
      <c r="O1248" s="3"/>
      <c r="P1248" s="10"/>
    </row>
    <row r="1249" spans="1:16" x14ac:dyDescent="0.15">
      <c r="A1249" s="10"/>
      <c r="B1249" s="3"/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/>
      <c r="N1249" s="10"/>
      <c r="O1249" s="3"/>
      <c r="P1249" s="10"/>
    </row>
    <row r="1250" spans="1:16" x14ac:dyDescent="0.15">
      <c r="A1250" s="10"/>
      <c r="B1250" s="3"/>
      <c r="C1250" s="10"/>
      <c r="D1250" s="10"/>
      <c r="E1250" s="10"/>
      <c r="F1250" s="10"/>
      <c r="G1250" s="10"/>
      <c r="H1250" s="10"/>
      <c r="I1250" s="10"/>
      <c r="J1250" s="10"/>
      <c r="K1250" s="10"/>
      <c r="L1250" s="10"/>
      <c r="M1250" s="10"/>
      <c r="N1250" s="10"/>
      <c r="O1250" s="3"/>
      <c r="P1250" s="10"/>
    </row>
    <row r="1251" spans="1:16" x14ac:dyDescent="0.15">
      <c r="A1251" s="10"/>
      <c r="B1251" s="3"/>
      <c r="C1251" s="10"/>
      <c r="D1251" s="10"/>
      <c r="E1251" s="10"/>
      <c r="F1251" s="10"/>
      <c r="G1251" s="10"/>
      <c r="H1251" s="10"/>
      <c r="I1251" s="10"/>
      <c r="J1251" s="10"/>
      <c r="K1251" s="10"/>
      <c r="L1251" s="10"/>
      <c r="M1251" s="10"/>
      <c r="N1251" s="10"/>
      <c r="O1251" s="3"/>
      <c r="P1251" s="10"/>
    </row>
    <row r="1252" spans="1:16" x14ac:dyDescent="0.15">
      <c r="A1252" s="10"/>
      <c r="B1252" s="3"/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/>
      <c r="N1252" s="10"/>
      <c r="O1252" s="3"/>
      <c r="P1252" s="10"/>
    </row>
    <row r="1253" spans="1:16" x14ac:dyDescent="0.15">
      <c r="A1253" s="10"/>
      <c r="B1253" s="3"/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/>
      <c r="N1253" s="10"/>
      <c r="O1253" s="3"/>
      <c r="P1253" s="10"/>
    </row>
    <row r="1254" spans="1:16" x14ac:dyDescent="0.15">
      <c r="A1254" s="10"/>
      <c r="B1254" s="3"/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/>
      <c r="N1254" s="10"/>
      <c r="O1254" s="3"/>
      <c r="P1254" s="10"/>
    </row>
    <row r="1255" spans="1:16" x14ac:dyDescent="0.15">
      <c r="A1255" s="10"/>
      <c r="B1255" s="3"/>
      <c r="C1255" s="10"/>
      <c r="D1255" s="10"/>
      <c r="E1255" s="10"/>
      <c r="F1255" s="10"/>
      <c r="G1255" s="10"/>
      <c r="H1255" s="10"/>
      <c r="I1255" s="10"/>
      <c r="J1255" s="10"/>
      <c r="K1255" s="10"/>
      <c r="L1255" s="10"/>
      <c r="M1255" s="10"/>
      <c r="N1255" s="10"/>
      <c r="O1255" s="3"/>
      <c r="P1255" s="10"/>
    </row>
    <row r="1256" spans="1:16" x14ac:dyDescent="0.15">
      <c r="A1256" s="10"/>
      <c r="B1256" s="3"/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/>
      <c r="N1256" s="10"/>
      <c r="O1256" s="3"/>
      <c r="P1256" s="10"/>
    </row>
    <row r="1257" spans="1:16" x14ac:dyDescent="0.15">
      <c r="A1257" s="10"/>
      <c r="B1257" s="3"/>
      <c r="C1257" s="10"/>
      <c r="D1257" s="10"/>
      <c r="E1257" s="10"/>
      <c r="F1257" s="10"/>
      <c r="G1257" s="10"/>
      <c r="H1257" s="10"/>
      <c r="I1257" s="10"/>
      <c r="J1257" s="10"/>
      <c r="K1257" s="10"/>
      <c r="L1257" s="10"/>
      <c r="M1257" s="10"/>
      <c r="N1257" s="10"/>
      <c r="O1257" s="3"/>
      <c r="P1257" s="10"/>
    </row>
    <row r="1258" spans="1:16" x14ac:dyDescent="0.15">
      <c r="A1258" s="10"/>
      <c r="B1258" s="3"/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/>
      <c r="N1258" s="10"/>
      <c r="O1258" s="3"/>
      <c r="P1258" s="10"/>
    </row>
    <row r="1259" spans="1:16" x14ac:dyDescent="0.15">
      <c r="A1259" s="10"/>
      <c r="B1259" s="3"/>
      <c r="C1259" s="10"/>
      <c r="D1259" s="10"/>
      <c r="E1259" s="10"/>
      <c r="F1259" s="10"/>
      <c r="G1259" s="10"/>
      <c r="H1259" s="10"/>
      <c r="I1259" s="10"/>
      <c r="J1259" s="10"/>
      <c r="K1259" s="10"/>
      <c r="L1259" s="10"/>
      <c r="M1259" s="10"/>
      <c r="N1259" s="10"/>
      <c r="O1259" s="3"/>
      <c r="P1259" s="10"/>
    </row>
    <row r="1260" spans="1:16" x14ac:dyDescent="0.15">
      <c r="A1260" s="10"/>
      <c r="B1260" s="3"/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/>
      <c r="N1260" s="10"/>
      <c r="O1260" s="3"/>
      <c r="P1260" s="10"/>
    </row>
    <row r="1261" spans="1:16" x14ac:dyDescent="0.15">
      <c r="A1261" s="10"/>
      <c r="B1261" s="3"/>
      <c r="C1261" s="10"/>
      <c r="D1261" s="10"/>
      <c r="E1261" s="10"/>
      <c r="F1261" s="10"/>
      <c r="G1261" s="10"/>
      <c r="H1261" s="10"/>
      <c r="I1261" s="10"/>
      <c r="J1261" s="10"/>
      <c r="K1261" s="10"/>
      <c r="L1261" s="10"/>
      <c r="M1261" s="10"/>
      <c r="N1261" s="10"/>
      <c r="O1261" s="3"/>
      <c r="P1261" s="10"/>
    </row>
    <row r="1262" spans="1:16" x14ac:dyDescent="0.15">
      <c r="A1262" s="10"/>
      <c r="B1262" s="3"/>
      <c r="C1262" s="10"/>
      <c r="D1262" s="10"/>
      <c r="E1262" s="10"/>
      <c r="F1262" s="10"/>
      <c r="G1262" s="10"/>
      <c r="H1262" s="10"/>
      <c r="I1262" s="10"/>
      <c r="J1262" s="10"/>
      <c r="K1262" s="10"/>
      <c r="L1262" s="10"/>
      <c r="M1262" s="10"/>
      <c r="N1262" s="10"/>
      <c r="O1262" s="3"/>
      <c r="P1262" s="10"/>
    </row>
    <row r="1263" spans="1:16" x14ac:dyDescent="0.15">
      <c r="A1263" s="10"/>
      <c r="B1263" s="3"/>
      <c r="C1263" s="10"/>
      <c r="D1263" s="10"/>
      <c r="E1263" s="10"/>
      <c r="F1263" s="10"/>
      <c r="G1263" s="10"/>
      <c r="H1263" s="10"/>
      <c r="I1263" s="10"/>
      <c r="J1263" s="10"/>
      <c r="K1263" s="10"/>
      <c r="L1263" s="10"/>
      <c r="M1263" s="10"/>
      <c r="N1263" s="10"/>
      <c r="O1263" s="3"/>
      <c r="P1263" s="10"/>
    </row>
    <row r="1264" spans="1:16" x14ac:dyDescent="0.15">
      <c r="A1264" s="10"/>
      <c r="B1264" s="3"/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/>
      <c r="N1264" s="10"/>
      <c r="O1264" s="3"/>
      <c r="P1264" s="10"/>
    </row>
    <row r="1265" spans="1:16" x14ac:dyDescent="0.15">
      <c r="A1265" s="10"/>
      <c r="B1265" s="3"/>
      <c r="C1265" s="10"/>
      <c r="D1265" s="10"/>
      <c r="E1265" s="10"/>
      <c r="F1265" s="10"/>
      <c r="G1265" s="10"/>
      <c r="H1265" s="10"/>
      <c r="I1265" s="10"/>
      <c r="J1265" s="10"/>
      <c r="K1265" s="10"/>
      <c r="L1265" s="10"/>
      <c r="M1265" s="10"/>
      <c r="N1265" s="10"/>
      <c r="O1265" s="3"/>
      <c r="P1265" s="10"/>
    </row>
    <row r="1266" spans="1:16" x14ac:dyDescent="0.15">
      <c r="A1266" s="10"/>
      <c r="B1266" s="3"/>
      <c r="C1266" s="10"/>
      <c r="D1266" s="10"/>
      <c r="E1266" s="10"/>
      <c r="F1266" s="10"/>
      <c r="G1266" s="10"/>
      <c r="H1266" s="10"/>
      <c r="I1266" s="10"/>
      <c r="J1266" s="10"/>
      <c r="K1266" s="10"/>
      <c r="L1266" s="10"/>
      <c r="M1266" s="10"/>
      <c r="N1266" s="10"/>
      <c r="O1266" s="3"/>
      <c r="P1266" s="10"/>
    </row>
    <row r="1267" spans="1:16" x14ac:dyDescent="0.15">
      <c r="A1267" s="10"/>
      <c r="B1267" s="3"/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/>
      <c r="N1267" s="10"/>
      <c r="O1267" s="3"/>
      <c r="P1267" s="10"/>
    </row>
    <row r="1268" spans="1:16" x14ac:dyDescent="0.15">
      <c r="A1268" s="10"/>
      <c r="B1268" s="3"/>
      <c r="C1268" s="10"/>
      <c r="D1268" s="10"/>
      <c r="E1268" s="10"/>
      <c r="F1268" s="10"/>
      <c r="G1268" s="10"/>
      <c r="H1268" s="10"/>
      <c r="I1268" s="10"/>
      <c r="J1268" s="10"/>
      <c r="K1268" s="10"/>
      <c r="L1268" s="10"/>
      <c r="M1268" s="10"/>
      <c r="N1268" s="10"/>
      <c r="O1268" s="3"/>
      <c r="P1268" s="10"/>
    </row>
    <row r="1269" spans="1:16" x14ac:dyDescent="0.15">
      <c r="A1269" s="10"/>
      <c r="B1269" s="3"/>
      <c r="C1269" s="10"/>
      <c r="D1269" s="10"/>
      <c r="E1269" s="10"/>
      <c r="F1269" s="10"/>
      <c r="G1269" s="10"/>
      <c r="H1269" s="10"/>
      <c r="I1269" s="10"/>
      <c r="J1269" s="10"/>
      <c r="K1269" s="10"/>
      <c r="L1269" s="10"/>
      <c r="M1269" s="10"/>
      <c r="N1269" s="10"/>
      <c r="O1269" s="3"/>
      <c r="P1269" s="10"/>
    </row>
    <row r="1270" spans="1:16" x14ac:dyDescent="0.15">
      <c r="A1270" s="10"/>
      <c r="B1270" s="3"/>
      <c r="C1270" s="10"/>
      <c r="D1270" s="10"/>
      <c r="E1270" s="10"/>
      <c r="F1270" s="10"/>
      <c r="G1270" s="10"/>
      <c r="H1270" s="10"/>
      <c r="I1270" s="10"/>
      <c r="J1270" s="10"/>
      <c r="K1270" s="10"/>
      <c r="L1270" s="10"/>
      <c r="M1270" s="10"/>
      <c r="N1270" s="10"/>
      <c r="O1270" s="3"/>
      <c r="P1270" s="10"/>
    </row>
    <row r="1271" spans="1:16" x14ac:dyDescent="0.15">
      <c r="A1271" s="10"/>
      <c r="B1271" s="3"/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/>
      <c r="N1271" s="10"/>
      <c r="O1271" s="3"/>
      <c r="P1271" s="10"/>
    </row>
    <row r="1272" spans="1:16" x14ac:dyDescent="0.15">
      <c r="A1272" s="10"/>
      <c r="B1272" s="3"/>
      <c r="C1272" s="10"/>
      <c r="D1272" s="10"/>
      <c r="E1272" s="10"/>
      <c r="F1272" s="10"/>
      <c r="G1272" s="10"/>
      <c r="H1272" s="10"/>
      <c r="I1272" s="10"/>
      <c r="J1272" s="10"/>
      <c r="K1272" s="10"/>
      <c r="L1272" s="10"/>
      <c r="M1272" s="10"/>
      <c r="N1272" s="10"/>
      <c r="O1272" s="3"/>
      <c r="P1272" s="10"/>
    </row>
    <row r="1273" spans="1:16" x14ac:dyDescent="0.15">
      <c r="A1273" s="10"/>
      <c r="B1273" s="3"/>
      <c r="C1273" s="10"/>
      <c r="D1273" s="10"/>
      <c r="E1273" s="10"/>
      <c r="F1273" s="10"/>
      <c r="G1273" s="10"/>
      <c r="H1273" s="10"/>
      <c r="I1273" s="10"/>
      <c r="J1273" s="10"/>
      <c r="K1273" s="10"/>
      <c r="L1273" s="10"/>
      <c r="M1273" s="10"/>
      <c r="N1273" s="10"/>
      <c r="O1273" s="3"/>
      <c r="P1273" s="10"/>
    </row>
    <row r="1274" spans="1:16" x14ac:dyDescent="0.15">
      <c r="A1274" s="10"/>
      <c r="B1274" s="3"/>
      <c r="C1274" s="10"/>
      <c r="D1274" s="10"/>
      <c r="E1274" s="10"/>
      <c r="F1274" s="10"/>
      <c r="G1274" s="10"/>
      <c r="H1274" s="10"/>
      <c r="I1274" s="10"/>
      <c r="J1274" s="10"/>
      <c r="K1274" s="10"/>
      <c r="L1274" s="10"/>
      <c r="M1274" s="10"/>
      <c r="N1274" s="10"/>
      <c r="O1274" s="3"/>
      <c r="P1274" s="10"/>
    </row>
    <row r="1275" spans="1:16" x14ac:dyDescent="0.15">
      <c r="A1275" s="10"/>
      <c r="B1275" s="3"/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/>
      <c r="N1275" s="10"/>
      <c r="O1275" s="3"/>
      <c r="P1275" s="10"/>
    </row>
    <row r="1276" spans="1:16" x14ac:dyDescent="0.15">
      <c r="A1276" s="10"/>
      <c r="B1276" s="3"/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/>
      <c r="N1276" s="10"/>
      <c r="O1276" s="3"/>
      <c r="P1276" s="10"/>
    </row>
    <row r="1277" spans="1:16" x14ac:dyDescent="0.15">
      <c r="A1277" s="10"/>
      <c r="B1277" s="3"/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/>
      <c r="N1277" s="10"/>
      <c r="O1277" s="3"/>
      <c r="P1277" s="10"/>
    </row>
    <row r="1278" spans="1:16" x14ac:dyDescent="0.15">
      <c r="A1278" s="10"/>
      <c r="B1278" s="3"/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/>
      <c r="N1278" s="10"/>
      <c r="O1278" s="3"/>
      <c r="P1278" s="10"/>
    </row>
    <row r="1279" spans="1:16" x14ac:dyDescent="0.15">
      <c r="A1279" s="10"/>
      <c r="B1279" s="3"/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/>
      <c r="N1279" s="10"/>
      <c r="O1279" s="3"/>
      <c r="P1279" s="10"/>
    </row>
    <row r="1280" spans="1:16" x14ac:dyDescent="0.15">
      <c r="A1280" s="10"/>
      <c r="B1280" s="3"/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/>
      <c r="N1280" s="10"/>
      <c r="O1280" s="3"/>
      <c r="P1280" s="10"/>
    </row>
    <row r="1281" spans="1:16" x14ac:dyDescent="0.15">
      <c r="A1281" s="10"/>
      <c r="B1281" s="3"/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/>
      <c r="N1281" s="10"/>
      <c r="O1281" s="3"/>
      <c r="P1281" s="10"/>
    </row>
    <row r="1282" spans="1:16" x14ac:dyDescent="0.15">
      <c r="A1282" s="10"/>
      <c r="B1282" s="3"/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/>
      <c r="N1282" s="10"/>
      <c r="O1282" s="3"/>
      <c r="P1282" s="10"/>
    </row>
    <row r="1283" spans="1:16" x14ac:dyDescent="0.15">
      <c r="A1283" s="10"/>
      <c r="B1283" s="3"/>
      <c r="C1283" s="10"/>
      <c r="D1283" s="10"/>
      <c r="E1283" s="10"/>
      <c r="F1283" s="10"/>
      <c r="G1283" s="10"/>
      <c r="H1283" s="10"/>
      <c r="I1283" s="10"/>
      <c r="J1283" s="10"/>
      <c r="K1283" s="10"/>
      <c r="L1283" s="10"/>
      <c r="M1283" s="10"/>
      <c r="N1283" s="10"/>
      <c r="O1283" s="3"/>
      <c r="P1283" s="10"/>
    </row>
    <row r="1284" spans="1:16" x14ac:dyDescent="0.15">
      <c r="A1284" s="10"/>
      <c r="B1284" s="3"/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/>
      <c r="N1284" s="10"/>
      <c r="O1284" s="3"/>
      <c r="P1284" s="10"/>
    </row>
    <row r="1285" spans="1:16" x14ac:dyDescent="0.15">
      <c r="A1285" s="10"/>
      <c r="B1285" s="3"/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/>
      <c r="N1285" s="10"/>
      <c r="O1285" s="3"/>
      <c r="P1285" s="10"/>
    </row>
    <row r="1286" spans="1:16" x14ac:dyDescent="0.15">
      <c r="A1286" s="10"/>
      <c r="B1286" s="3"/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/>
      <c r="N1286" s="10"/>
      <c r="O1286" s="3"/>
      <c r="P1286" s="10"/>
    </row>
    <row r="1287" spans="1:16" x14ac:dyDescent="0.15">
      <c r="A1287" s="10"/>
      <c r="B1287" s="3"/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/>
      <c r="N1287" s="10"/>
      <c r="O1287" s="3"/>
      <c r="P1287" s="10"/>
    </row>
    <row r="1288" spans="1:16" x14ac:dyDescent="0.15">
      <c r="A1288" s="10"/>
      <c r="B1288" s="3"/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/>
      <c r="N1288" s="10"/>
      <c r="O1288" s="3"/>
      <c r="P1288" s="10"/>
    </row>
    <row r="1289" spans="1:16" x14ac:dyDescent="0.15">
      <c r="A1289" s="10"/>
      <c r="B1289" s="3"/>
      <c r="C1289" s="10"/>
      <c r="D1289" s="10"/>
      <c r="E1289" s="10"/>
      <c r="F1289" s="10"/>
      <c r="G1289" s="10"/>
      <c r="H1289" s="10"/>
      <c r="I1289" s="10"/>
      <c r="J1289" s="10"/>
      <c r="K1289" s="10"/>
      <c r="L1289" s="10"/>
      <c r="M1289" s="10"/>
      <c r="N1289" s="10"/>
      <c r="O1289" s="3"/>
      <c r="P1289" s="10"/>
    </row>
    <row r="1290" spans="1:16" x14ac:dyDescent="0.15">
      <c r="A1290" s="10"/>
      <c r="B1290" s="3"/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/>
      <c r="N1290" s="10"/>
      <c r="O1290" s="3"/>
      <c r="P1290" s="10"/>
    </row>
    <row r="1291" spans="1:16" x14ac:dyDescent="0.15">
      <c r="A1291" s="10"/>
      <c r="B1291" s="3"/>
      <c r="C1291" s="10"/>
      <c r="D1291" s="10"/>
      <c r="E1291" s="10"/>
      <c r="F1291" s="10"/>
      <c r="G1291" s="10"/>
      <c r="H1291" s="10"/>
      <c r="I1291" s="10"/>
      <c r="J1291" s="10"/>
      <c r="K1291" s="10"/>
      <c r="L1291" s="10"/>
      <c r="M1291" s="10"/>
      <c r="N1291" s="10"/>
      <c r="O1291" s="3"/>
      <c r="P1291" s="10"/>
    </row>
    <row r="1292" spans="1:16" x14ac:dyDescent="0.15">
      <c r="A1292" s="10"/>
      <c r="B1292" s="3"/>
      <c r="C1292" s="10"/>
      <c r="D1292" s="10"/>
      <c r="E1292" s="10"/>
      <c r="F1292" s="10"/>
      <c r="G1292" s="10"/>
      <c r="H1292" s="10"/>
      <c r="I1292" s="10"/>
      <c r="J1292" s="10"/>
      <c r="K1292" s="10"/>
      <c r="L1292" s="10"/>
      <c r="M1292" s="10"/>
      <c r="N1292" s="10"/>
      <c r="O1292" s="3"/>
      <c r="P1292" s="10"/>
    </row>
    <row r="1293" spans="1:16" x14ac:dyDescent="0.15">
      <c r="A1293" s="10"/>
      <c r="B1293" s="3"/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/>
      <c r="N1293" s="10"/>
      <c r="O1293" s="3"/>
      <c r="P1293" s="10"/>
    </row>
    <row r="1294" spans="1:16" x14ac:dyDescent="0.15">
      <c r="A1294" s="10"/>
      <c r="B1294" s="3"/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/>
      <c r="N1294" s="10"/>
      <c r="O1294" s="3"/>
      <c r="P1294" s="10"/>
    </row>
    <row r="1295" spans="1:16" x14ac:dyDescent="0.15">
      <c r="A1295" s="10"/>
      <c r="B1295" s="3"/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/>
      <c r="N1295" s="10"/>
      <c r="O1295" s="3"/>
      <c r="P1295" s="10"/>
    </row>
    <row r="1296" spans="1:16" x14ac:dyDescent="0.15">
      <c r="A1296" s="10"/>
      <c r="B1296" s="3"/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/>
      <c r="N1296" s="10"/>
      <c r="O1296" s="3"/>
      <c r="P1296" s="10"/>
    </row>
    <row r="1297" spans="1:16" x14ac:dyDescent="0.15">
      <c r="A1297" s="10"/>
      <c r="B1297" s="3"/>
      <c r="C1297" s="10"/>
      <c r="D1297" s="10"/>
      <c r="E1297" s="10"/>
      <c r="F1297" s="10"/>
      <c r="G1297" s="10"/>
      <c r="H1297" s="10"/>
      <c r="I1297" s="10"/>
      <c r="J1297" s="10"/>
      <c r="K1297" s="10"/>
      <c r="L1297" s="10"/>
      <c r="M1297" s="10"/>
      <c r="N1297" s="10"/>
      <c r="O1297" s="3"/>
      <c r="P1297" s="10"/>
    </row>
    <row r="1298" spans="1:16" x14ac:dyDescent="0.15">
      <c r="A1298" s="10"/>
      <c r="B1298" s="3"/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/>
      <c r="N1298" s="10"/>
      <c r="O1298" s="3"/>
      <c r="P1298" s="10"/>
    </row>
    <row r="1299" spans="1:16" x14ac:dyDescent="0.15">
      <c r="A1299" s="10"/>
      <c r="B1299" s="3"/>
      <c r="C1299" s="10"/>
      <c r="D1299" s="10"/>
      <c r="E1299" s="10"/>
      <c r="F1299" s="10"/>
      <c r="G1299" s="10"/>
      <c r="H1299" s="10"/>
      <c r="I1299" s="10"/>
      <c r="J1299" s="10"/>
      <c r="K1299" s="10"/>
      <c r="L1299" s="10"/>
      <c r="M1299" s="10"/>
      <c r="N1299" s="10"/>
      <c r="O1299" s="3"/>
      <c r="P1299" s="10"/>
    </row>
    <row r="1300" spans="1:16" x14ac:dyDescent="0.15">
      <c r="A1300" s="10"/>
      <c r="B1300" s="3"/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/>
      <c r="N1300" s="10"/>
      <c r="O1300" s="3"/>
      <c r="P1300" s="10"/>
    </row>
    <row r="1301" spans="1:16" x14ac:dyDescent="0.15">
      <c r="A1301" s="10"/>
      <c r="B1301" s="3"/>
      <c r="C1301" s="10"/>
      <c r="D1301" s="10"/>
      <c r="E1301" s="10"/>
      <c r="F1301" s="10"/>
      <c r="G1301" s="10"/>
      <c r="H1301" s="10"/>
      <c r="I1301" s="10"/>
      <c r="J1301" s="10"/>
      <c r="K1301" s="10"/>
      <c r="L1301" s="10"/>
      <c r="M1301" s="10"/>
      <c r="N1301" s="10"/>
      <c r="O1301" s="3"/>
      <c r="P1301" s="10"/>
    </row>
    <row r="1302" spans="1:16" x14ac:dyDescent="0.15">
      <c r="A1302" s="10"/>
      <c r="B1302" s="3"/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/>
      <c r="N1302" s="10"/>
      <c r="O1302" s="3"/>
      <c r="P1302" s="10"/>
    </row>
    <row r="1303" spans="1:16" x14ac:dyDescent="0.15">
      <c r="A1303" s="10"/>
      <c r="B1303" s="3"/>
      <c r="C1303" s="10"/>
      <c r="D1303" s="10"/>
      <c r="E1303" s="10"/>
      <c r="F1303" s="10"/>
      <c r="G1303" s="10"/>
      <c r="H1303" s="10"/>
      <c r="I1303" s="10"/>
      <c r="J1303" s="10"/>
      <c r="K1303" s="10"/>
      <c r="L1303" s="10"/>
      <c r="M1303" s="10"/>
      <c r="N1303" s="10"/>
      <c r="O1303" s="3"/>
      <c r="P1303" s="10"/>
    </row>
    <row r="1304" spans="1:16" x14ac:dyDescent="0.15">
      <c r="A1304" s="10"/>
      <c r="B1304" s="3"/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/>
      <c r="N1304" s="10"/>
      <c r="O1304" s="3"/>
      <c r="P1304" s="10"/>
    </row>
    <row r="1305" spans="1:16" x14ac:dyDescent="0.15">
      <c r="A1305" s="10"/>
      <c r="B1305" s="3"/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/>
      <c r="N1305" s="10"/>
      <c r="O1305" s="3"/>
      <c r="P1305" s="10"/>
    </row>
    <row r="1306" spans="1:16" x14ac:dyDescent="0.15">
      <c r="A1306" s="10"/>
      <c r="B1306" s="3"/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/>
      <c r="N1306" s="10"/>
      <c r="O1306" s="3"/>
      <c r="P1306" s="10"/>
    </row>
    <row r="1307" spans="1:16" x14ac:dyDescent="0.15">
      <c r="A1307" s="10"/>
      <c r="B1307" s="3"/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/>
      <c r="N1307" s="10"/>
      <c r="O1307" s="3"/>
      <c r="P1307" s="10"/>
    </row>
    <row r="1308" spans="1:16" x14ac:dyDescent="0.15">
      <c r="A1308" s="10"/>
      <c r="B1308" s="3"/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/>
      <c r="N1308" s="10"/>
      <c r="O1308" s="3"/>
      <c r="P1308" s="10"/>
    </row>
    <row r="1309" spans="1:16" x14ac:dyDescent="0.15">
      <c r="A1309" s="10"/>
      <c r="B1309" s="3"/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/>
      <c r="N1309" s="10"/>
      <c r="O1309" s="3"/>
      <c r="P1309" s="10"/>
    </row>
    <row r="1310" spans="1:16" x14ac:dyDescent="0.15">
      <c r="A1310" s="10"/>
      <c r="B1310" s="3"/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/>
      <c r="N1310" s="10"/>
      <c r="O1310" s="3"/>
      <c r="P1310" s="10"/>
    </row>
    <row r="1311" spans="1:16" x14ac:dyDescent="0.15">
      <c r="A1311" s="10"/>
      <c r="B1311" s="3"/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/>
      <c r="N1311" s="10"/>
      <c r="O1311" s="3"/>
      <c r="P1311" s="10"/>
    </row>
    <row r="1312" spans="1:16" x14ac:dyDescent="0.15">
      <c r="A1312" s="10"/>
      <c r="B1312" s="3"/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/>
      <c r="N1312" s="10"/>
      <c r="O1312" s="3"/>
      <c r="P1312" s="10"/>
    </row>
    <row r="1313" spans="1:16" x14ac:dyDescent="0.15">
      <c r="A1313" s="10"/>
      <c r="B1313" s="3"/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/>
      <c r="N1313" s="10"/>
      <c r="O1313" s="3"/>
      <c r="P1313" s="10"/>
    </row>
    <row r="1314" spans="1:16" x14ac:dyDescent="0.15">
      <c r="A1314" s="10"/>
      <c r="B1314" s="3"/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/>
      <c r="N1314" s="10"/>
      <c r="O1314" s="3"/>
      <c r="P1314" s="10"/>
    </row>
    <row r="1315" spans="1:16" x14ac:dyDescent="0.15">
      <c r="A1315" s="10"/>
      <c r="B1315" s="3"/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/>
      <c r="N1315" s="10"/>
      <c r="O1315" s="3"/>
      <c r="P1315" s="10"/>
    </row>
    <row r="1316" spans="1:16" x14ac:dyDescent="0.15">
      <c r="A1316" s="10"/>
      <c r="B1316" s="3"/>
      <c r="C1316" s="10"/>
      <c r="D1316" s="10"/>
      <c r="E1316" s="10"/>
      <c r="F1316" s="10"/>
      <c r="G1316" s="10"/>
      <c r="H1316" s="10"/>
      <c r="I1316" s="10"/>
      <c r="J1316" s="10"/>
      <c r="K1316" s="10"/>
      <c r="L1316" s="10"/>
      <c r="M1316" s="10"/>
      <c r="N1316" s="10"/>
      <c r="O1316" s="3"/>
      <c r="P1316" s="10"/>
    </row>
    <row r="1317" spans="1:16" x14ac:dyDescent="0.15">
      <c r="A1317" s="10"/>
      <c r="B1317" s="3"/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/>
      <c r="N1317" s="10"/>
      <c r="O1317" s="3"/>
      <c r="P1317" s="10"/>
    </row>
    <row r="1318" spans="1:16" x14ac:dyDescent="0.15">
      <c r="A1318" s="10"/>
      <c r="B1318" s="3"/>
      <c r="C1318" s="10"/>
      <c r="D1318" s="10"/>
      <c r="E1318" s="10"/>
      <c r="F1318" s="10"/>
      <c r="G1318" s="10"/>
      <c r="H1318" s="10"/>
      <c r="I1318" s="10"/>
      <c r="J1318" s="10"/>
      <c r="K1318" s="10"/>
      <c r="L1318" s="10"/>
      <c r="M1318" s="10"/>
      <c r="N1318" s="10"/>
      <c r="O1318" s="3"/>
      <c r="P1318" s="10"/>
    </row>
    <row r="1319" spans="1:16" x14ac:dyDescent="0.15">
      <c r="A1319" s="10"/>
      <c r="B1319" s="3"/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/>
      <c r="N1319" s="10"/>
      <c r="O1319" s="3"/>
      <c r="P1319" s="10"/>
    </row>
    <row r="1320" spans="1:16" x14ac:dyDescent="0.15">
      <c r="A1320" s="10"/>
      <c r="B1320" s="3"/>
      <c r="C1320" s="10"/>
      <c r="D1320" s="10"/>
      <c r="E1320" s="10"/>
      <c r="F1320" s="10"/>
      <c r="G1320" s="10"/>
      <c r="H1320" s="10"/>
      <c r="I1320" s="10"/>
      <c r="J1320" s="10"/>
      <c r="K1320" s="10"/>
      <c r="L1320" s="10"/>
      <c r="M1320" s="10"/>
      <c r="N1320" s="10"/>
      <c r="O1320" s="3"/>
      <c r="P1320" s="10"/>
    </row>
    <row r="1321" spans="1:16" x14ac:dyDescent="0.15">
      <c r="A1321" s="10"/>
      <c r="B1321" s="3"/>
      <c r="C1321" s="10"/>
      <c r="D1321" s="10"/>
      <c r="E1321" s="10"/>
      <c r="F1321" s="10"/>
      <c r="G1321" s="10"/>
      <c r="H1321" s="10"/>
      <c r="I1321" s="10"/>
      <c r="J1321" s="10"/>
      <c r="K1321" s="10"/>
      <c r="L1321" s="10"/>
      <c r="M1321" s="10"/>
      <c r="N1321" s="10"/>
      <c r="O1321" s="3"/>
      <c r="P1321" s="10"/>
    </row>
    <row r="1322" spans="1:16" x14ac:dyDescent="0.15">
      <c r="A1322" s="10"/>
      <c r="B1322" s="3"/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/>
      <c r="N1322" s="10"/>
      <c r="O1322" s="3"/>
      <c r="P1322" s="10"/>
    </row>
    <row r="1323" spans="1:16" x14ac:dyDescent="0.15">
      <c r="A1323" s="10"/>
      <c r="B1323" s="3"/>
      <c r="C1323" s="10"/>
      <c r="D1323" s="10"/>
      <c r="E1323" s="10"/>
      <c r="F1323" s="10"/>
      <c r="G1323" s="10"/>
      <c r="H1323" s="10"/>
      <c r="I1323" s="10"/>
      <c r="J1323" s="10"/>
      <c r="K1323" s="10"/>
      <c r="L1323" s="10"/>
      <c r="M1323" s="10"/>
      <c r="N1323" s="10"/>
      <c r="O1323" s="3"/>
      <c r="P1323" s="10"/>
    </row>
    <row r="1324" spans="1:16" x14ac:dyDescent="0.15">
      <c r="A1324" s="10"/>
      <c r="B1324" s="3"/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/>
      <c r="N1324" s="10"/>
      <c r="O1324" s="3"/>
      <c r="P1324" s="10"/>
    </row>
    <row r="1325" spans="1:16" x14ac:dyDescent="0.15">
      <c r="A1325" s="10"/>
      <c r="B1325" s="3"/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/>
      <c r="N1325" s="10"/>
      <c r="O1325" s="3"/>
      <c r="P1325" s="10"/>
    </row>
    <row r="1326" spans="1:16" x14ac:dyDescent="0.15">
      <c r="A1326" s="10"/>
      <c r="B1326" s="3"/>
      <c r="C1326" s="10"/>
      <c r="D1326" s="10"/>
      <c r="E1326" s="10"/>
      <c r="F1326" s="10"/>
      <c r="G1326" s="10"/>
      <c r="H1326" s="10"/>
      <c r="I1326" s="10"/>
      <c r="J1326" s="10"/>
      <c r="K1326" s="10"/>
      <c r="L1326" s="10"/>
      <c r="M1326" s="10"/>
      <c r="N1326" s="10"/>
      <c r="O1326" s="3"/>
      <c r="P1326" s="10"/>
    </row>
    <row r="1327" spans="1:16" x14ac:dyDescent="0.15">
      <c r="A1327" s="10"/>
      <c r="B1327" s="3"/>
      <c r="C1327" s="10"/>
      <c r="D1327" s="10"/>
      <c r="E1327" s="10"/>
      <c r="F1327" s="10"/>
      <c r="G1327" s="10"/>
      <c r="H1327" s="10"/>
      <c r="I1327" s="10"/>
      <c r="J1327" s="10"/>
      <c r="K1327" s="10"/>
      <c r="L1327" s="10"/>
      <c r="M1327" s="10"/>
      <c r="N1327" s="10"/>
      <c r="O1327" s="3"/>
      <c r="P1327" s="10"/>
    </row>
    <row r="1328" spans="1:16" x14ac:dyDescent="0.15">
      <c r="A1328" s="10"/>
      <c r="B1328" s="3"/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/>
      <c r="N1328" s="10"/>
      <c r="O1328" s="3"/>
      <c r="P1328" s="10"/>
    </row>
    <row r="1329" spans="1:16" x14ac:dyDescent="0.15">
      <c r="A1329" s="10"/>
      <c r="B1329" s="3"/>
      <c r="C1329" s="10"/>
      <c r="D1329" s="10"/>
      <c r="E1329" s="10"/>
      <c r="F1329" s="10"/>
      <c r="G1329" s="10"/>
      <c r="H1329" s="10"/>
      <c r="I1329" s="10"/>
      <c r="J1329" s="10"/>
      <c r="K1329" s="10"/>
      <c r="L1329" s="10"/>
      <c r="M1329" s="10"/>
      <c r="N1329" s="10"/>
      <c r="O1329" s="3"/>
      <c r="P1329" s="10"/>
    </row>
    <row r="1330" spans="1:16" x14ac:dyDescent="0.15">
      <c r="A1330" s="10"/>
      <c r="B1330" s="3"/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/>
      <c r="N1330" s="10"/>
      <c r="O1330" s="3"/>
      <c r="P1330" s="10"/>
    </row>
    <row r="1331" spans="1:16" x14ac:dyDescent="0.15">
      <c r="A1331" s="10"/>
      <c r="B1331" s="3"/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/>
      <c r="N1331" s="10"/>
      <c r="O1331" s="3"/>
      <c r="P1331" s="10"/>
    </row>
    <row r="1332" spans="1:16" x14ac:dyDescent="0.15">
      <c r="A1332" s="10"/>
      <c r="B1332" s="3"/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/>
      <c r="N1332" s="10"/>
      <c r="O1332" s="3"/>
      <c r="P1332" s="10"/>
    </row>
    <row r="1333" spans="1:16" x14ac:dyDescent="0.15">
      <c r="A1333" s="10"/>
      <c r="B1333" s="3"/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/>
      <c r="N1333" s="10"/>
      <c r="O1333" s="3"/>
      <c r="P1333" s="10"/>
    </row>
    <row r="1334" spans="1:16" x14ac:dyDescent="0.15">
      <c r="A1334" s="10"/>
      <c r="B1334" s="3"/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/>
      <c r="N1334" s="10"/>
      <c r="O1334" s="3"/>
      <c r="P1334" s="10"/>
    </row>
    <row r="1335" spans="1:16" x14ac:dyDescent="0.15">
      <c r="A1335" s="10"/>
      <c r="B1335" s="3"/>
      <c r="C1335" s="10"/>
      <c r="D1335" s="10"/>
      <c r="E1335" s="10"/>
      <c r="F1335" s="10"/>
      <c r="G1335" s="10"/>
      <c r="H1335" s="10"/>
      <c r="I1335" s="10"/>
      <c r="J1335" s="10"/>
      <c r="K1335" s="10"/>
      <c r="L1335" s="10"/>
      <c r="M1335" s="10"/>
      <c r="N1335" s="10"/>
      <c r="O1335" s="3"/>
      <c r="P1335" s="10"/>
    </row>
    <row r="1336" spans="1:16" x14ac:dyDescent="0.15">
      <c r="A1336" s="10"/>
      <c r="B1336" s="3"/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/>
      <c r="N1336" s="10"/>
      <c r="O1336" s="3"/>
      <c r="P1336" s="10"/>
    </row>
    <row r="1337" spans="1:16" x14ac:dyDescent="0.15">
      <c r="A1337" s="10"/>
      <c r="B1337" s="3"/>
      <c r="C1337" s="10"/>
      <c r="D1337" s="10"/>
      <c r="E1337" s="10"/>
      <c r="F1337" s="10"/>
      <c r="G1337" s="10"/>
      <c r="H1337" s="10"/>
      <c r="I1337" s="10"/>
      <c r="J1337" s="10"/>
      <c r="K1337" s="10"/>
      <c r="L1337" s="10"/>
      <c r="M1337" s="10"/>
      <c r="N1337" s="10"/>
      <c r="O1337" s="3"/>
      <c r="P1337" s="10"/>
    </row>
    <row r="1338" spans="1:16" x14ac:dyDescent="0.15">
      <c r="A1338" s="10"/>
      <c r="B1338" s="3"/>
      <c r="C1338" s="10"/>
      <c r="D1338" s="10"/>
      <c r="E1338" s="10"/>
      <c r="F1338" s="10"/>
      <c r="G1338" s="10"/>
      <c r="H1338" s="10"/>
      <c r="I1338" s="10"/>
      <c r="J1338" s="10"/>
      <c r="K1338" s="10"/>
      <c r="L1338" s="10"/>
      <c r="M1338" s="10"/>
      <c r="N1338" s="10"/>
      <c r="O1338" s="3"/>
      <c r="P1338" s="10"/>
    </row>
    <row r="1339" spans="1:16" x14ac:dyDescent="0.15">
      <c r="A1339" s="10"/>
      <c r="B1339" s="3"/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/>
      <c r="N1339" s="10"/>
      <c r="O1339" s="3"/>
      <c r="P1339" s="10"/>
    </row>
    <row r="1340" spans="1:16" x14ac:dyDescent="0.15">
      <c r="A1340" s="10"/>
      <c r="B1340" s="3"/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/>
      <c r="N1340" s="10"/>
      <c r="O1340" s="3"/>
      <c r="P1340" s="10"/>
    </row>
    <row r="1341" spans="1:16" x14ac:dyDescent="0.15">
      <c r="A1341" s="10"/>
      <c r="B1341" s="3"/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/>
      <c r="N1341" s="10"/>
      <c r="O1341" s="3"/>
      <c r="P1341" s="10"/>
    </row>
    <row r="1342" spans="1:16" x14ac:dyDescent="0.15">
      <c r="A1342" s="10"/>
      <c r="B1342" s="3"/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/>
      <c r="N1342" s="10"/>
      <c r="O1342" s="3"/>
      <c r="P1342" s="10"/>
    </row>
    <row r="1343" spans="1:16" x14ac:dyDescent="0.15">
      <c r="A1343" s="10"/>
      <c r="B1343" s="3"/>
      <c r="C1343" s="10"/>
      <c r="D1343" s="10"/>
      <c r="E1343" s="10"/>
      <c r="F1343" s="10"/>
      <c r="G1343" s="10"/>
      <c r="H1343" s="10"/>
      <c r="I1343" s="10"/>
      <c r="J1343" s="10"/>
      <c r="K1343" s="10"/>
      <c r="L1343" s="10"/>
      <c r="M1343" s="10"/>
      <c r="N1343" s="10"/>
      <c r="O1343" s="3"/>
      <c r="P1343" s="10"/>
    </row>
    <row r="1344" spans="1:16" x14ac:dyDescent="0.15">
      <c r="A1344" s="10"/>
      <c r="B1344" s="3"/>
      <c r="C1344" s="10"/>
      <c r="D1344" s="10"/>
      <c r="E1344" s="10"/>
      <c r="F1344" s="10"/>
      <c r="G1344" s="10"/>
      <c r="H1344" s="10"/>
      <c r="I1344" s="10"/>
      <c r="J1344" s="10"/>
      <c r="K1344" s="10"/>
      <c r="L1344" s="10"/>
      <c r="M1344" s="10"/>
      <c r="N1344" s="10"/>
      <c r="O1344" s="3"/>
      <c r="P1344" s="10"/>
    </row>
    <row r="1345" spans="1:16" x14ac:dyDescent="0.15">
      <c r="A1345" s="10"/>
      <c r="B1345" s="3"/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/>
      <c r="N1345" s="10"/>
      <c r="O1345" s="3"/>
      <c r="P1345" s="10"/>
    </row>
    <row r="1346" spans="1:16" x14ac:dyDescent="0.15">
      <c r="A1346" s="10"/>
      <c r="B1346" s="3"/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/>
      <c r="N1346" s="10"/>
      <c r="O1346" s="3"/>
      <c r="P1346" s="10"/>
    </row>
    <row r="1347" spans="1:16" x14ac:dyDescent="0.15">
      <c r="A1347" s="10"/>
      <c r="B1347" s="3"/>
      <c r="C1347" s="10"/>
      <c r="D1347" s="10"/>
      <c r="E1347" s="10"/>
      <c r="F1347" s="10"/>
      <c r="G1347" s="10"/>
      <c r="H1347" s="10"/>
      <c r="I1347" s="10"/>
      <c r="J1347" s="10"/>
      <c r="K1347" s="10"/>
      <c r="L1347" s="10"/>
      <c r="M1347" s="10"/>
      <c r="N1347" s="10"/>
      <c r="O1347" s="3"/>
      <c r="P1347" s="10"/>
    </row>
    <row r="1348" spans="1:16" x14ac:dyDescent="0.15">
      <c r="A1348" s="10"/>
      <c r="B1348" s="3"/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/>
      <c r="N1348" s="10"/>
      <c r="O1348" s="3"/>
      <c r="P1348" s="10"/>
    </row>
    <row r="1349" spans="1:16" x14ac:dyDescent="0.15">
      <c r="A1349" s="10"/>
      <c r="B1349" s="3"/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/>
      <c r="N1349" s="10"/>
      <c r="O1349" s="3"/>
      <c r="P1349" s="10"/>
    </row>
    <row r="1350" spans="1:16" x14ac:dyDescent="0.15">
      <c r="A1350" s="10"/>
      <c r="B1350" s="3"/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/>
      <c r="N1350" s="10"/>
      <c r="O1350" s="3"/>
      <c r="P1350" s="10"/>
    </row>
    <row r="1351" spans="1:16" x14ac:dyDescent="0.15">
      <c r="A1351" s="10"/>
      <c r="B1351" s="3"/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/>
      <c r="N1351" s="10"/>
      <c r="O1351" s="3"/>
      <c r="P1351" s="10"/>
    </row>
    <row r="1352" spans="1:16" x14ac:dyDescent="0.15">
      <c r="A1352" s="10"/>
      <c r="B1352" s="3"/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/>
      <c r="N1352" s="10"/>
      <c r="O1352" s="3"/>
      <c r="P1352" s="10"/>
    </row>
    <row r="1353" spans="1:16" x14ac:dyDescent="0.15">
      <c r="A1353" s="10"/>
      <c r="B1353" s="3"/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/>
      <c r="N1353" s="10"/>
      <c r="O1353" s="3"/>
      <c r="P1353" s="10"/>
    </row>
    <row r="1354" spans="1:16" x14ac:dyDescent="0.15">
      <c r="A1354" s="10"/>
      <c r="B1354" s="3"/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/>
      <c r="N1354" s="10"/>
      <c r="O1354" s="3"/>
      <c r="P1354" s="10"/>
    </row>
    <row r="1355" spans="1:16" x14ac:dyDescent="0.15">
      <c r="A1355" s="10"/>
      <c r="B1355" s="3"/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/>
      <c r="N1355" s="10"/>
      <c r="O1355" s="3"/>
      <c r="P1355" s="10"/>
    </row>
    <row r="1356" spans="1:16" x14ac:dyDescent="0.15">
      <c r="A1356" s="10"/>
      <c r="B1356" s="3"/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/>
      <c r="N1356" s="10"/>
      <c r="O1356" s="3"/>
      <c r="P1356" s="10"/>
    </row>
    <row r="1357" spans="1:16" x14ac:dyDescent="0.15">
      <c r="A1357" s="10"/>
      <c r="B1357" s="3"/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/>
      <c r="N1357" s="10"/>
      <c r="O1357" s="3"/>
      <c r="P1357" s="10"/>
    </row>
    <row r="1358" spans="1:16" x14ac:dyDescent="0.15">
      <c r="A1358" s="10"/>
      <c r="B1358" s="3"/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/>
      <c r="N1358" s="10"/>
      <c r="O1358" s="3"/>
      <c r="P1358" s="10"/>
    </row>
    <row r="1359" spans="1:16" x14ac:dyDescent="0.15">
      <c r="A1359" s="10"/>
      <c r="B1359" s="3"/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/>
      <c r="N1359" s="10"/>
      <c r="O1359" s="3"/>
      <c r="P1359" s="10"/>
    </row>
    <row r="1360" spans="1:16" x14ac:dyDescent="0.15">
      <c r="A1360" s="10"/>
      <c r="B1360" s="3"/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/>
      <c r="N1360" s="10"/>
      <c r="O1360" s="3"/>
      <c r="P1360" s="10"/>
    </row>
    <row r="1361" spans="1:16" x14ac:dyDescent="0.15">
      <c r="A1361" s="10"/>
      <c r="B1361" s="3"/>
      <c r="C1361" s="10"/>
      <c r="D1361" s="10"/>
      <c r="E1361" s="10"/>
      <c r="F1361" s="10"/>
      <c r="G1361" s="10"/>
      <c r="H1361" s="10"/>
      <c r="I1361" s="10"/>
      <c r="J1361" s="10"/>
      <c r="K1361" s="10"/>
      <c r="L1361" s="10"/>
      <c r="M1361" s="10"/>
      <c r="N1361" s="10"/>
      <c r="O1361" s="3"/>
      <c r="P1361" s="10"/>
    </row>
    <row r="1362" spans="1:16" x14ac:dyDescent="0.15">
      <c r="A1362" s="10"/>
      <c r="B1362" s="3"/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/>
      <c r="N1362" s="10"/>
      <c r="O1362" s="3"/>
      <c r="P1362" s="10"/>
    </row>
    <row r="1363" spans="1:16" x14ac:dyDescent="0.15">
      <c r="A1363" s="10"/>
      <c r="B1363" s="3"/>
      <c r="C1363" s="10"/>
      <c r="D1363" s="10"/>
      <c r="E1363" s="10"/>
      <c r="F1363" s="10"/>
      <c r="G1363" s="10"/>
      <c r="H1363" s="10"/>
      <c r="I1363" s="10"/>
      <c r="J1363" s="10"/>
      <c r="K1363" s="10"/>
      <c r="L1363" s="10"/>
      <c r="M1363" s="10"/>
      <c r="N1363" s="10"/>
      <c r="O1363" s="3"/>
      <c r="P1363" s="10"/>
    </row>
    <row r="1364" spans="1:16" x14ac:dyDescent="0.15">
      <c r="A1364" s="10"/>
      <c r="B1364" s="3"/>
      <c r="C1364" s="10"/>
      <c r="D1364" s="10"/>
      <c r="E1364" s="10"/>
      <c r="F1364" s="10"/>
      <c r="G1364" s="10"/>
      <c r="H1364" s="10"/>
      <c r="I1364" s="10"/>
      <c r="J1364" s="10"/>
      <c r="K1364" s="10"/>
      <c r="L1364" s="10"/>
      <c r="M1364" s="10"/>
      <c r="N1364" s="10"/>
      <c r="O1364" s="3"/>
      <c r="P1364" s="10"/>
    </row>
    <row r="1365" spans="1:16" x14ac:dyDescent="0.15">
      <c r="A1365" s="10"/>
      <c r="B1365" s="3"/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/>
      <c r="N1365" s="10"/>
      <c r="O1365" s="3"/>
      <c r="P1365" s="10"/>
    </row>
    <row r="1366" spans="1:16" x14ac:dyDescent="0.15">
      <c r="A1366" s="10"/>
      <c r="B1366" s="3"/>
      <c r="C1366" s="10"/>
      <c r="D1366" s="10"/>
      <c r="E1366" s="10"/>
      <c r="F1366" s="10"/>
      <c r="G1366" s="10"/>
      <c r="H1366" s="10"/>
      <c r="I1366" s="10"/>
      <c r="J1366" s="10"/>
      <c r="K1366" s="10"/>
      <c r="L1366" s="10"/>
      <c r="M1366" s="10"/>
      <c r="N1366" s="10"/>
      <c r="O1366" s="3"/>
      <c r="P1366" s="10"/>
    </row>
    <row r="1367" spans="1:16" x14ac:dyDescent="0.15">
      <c r="A1367" s="10"/>
      <c r="B1367" s="3"/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/>
      <c r="N1367" s="10"/>
      <c r="O1367" s="3"/>
      <c r="P1367" s="10"/>
    </row>
    <row r="1368" spans="1:16" x14ac:dyDescent="0.15">
      <c r="A1368" s="10"/>
      <c r="B1368" s="3"/>
      <c r="C1368" s="10"/>
      <c r="D1368" s="10"/>
      <c r="E1368" s="10"/>
      <c r="F1368" s="10"/>
      <c r="G1368" s="10"/>
      <c r="H1368" s="10"/>
      <c r="I1368" s="10"/>
      <c r="J1368" s="10"/>
      <c r="K1368" s="10"/>
      <c r="L1368" s="10"/>
      <c r="M1368" s="10"/>
      <c r="N1368" s="10"/>
      <c r="O1368" s="3"/>
      <c r="P1368" s="10"/>
    </row>
    <row r="1369" spans="1:16" x14ac:dyDescent="0.15">
      <c r="A1369" s="10"/>
      <c r="B1369" s="3"/>
      <c r="C1369" s="10"/>
      <c r="D1369" s="10"/>
      <c r="E1369" s="10"/>
      <c r="F1369" s="10"/>
      <c r="G1369" s="10"/>
      <c r="H1369" s="10"/>
      <c r="I1369" s="10"/>
      <c r="J1369" s="10"/>
      <c r="K1369" s="10"/>
      <c r="L1369" s="10"/>
      <c r="M1369" s="10"/>
      <c r="N1369" s="10"/>
      <c r="O1369" s="3"/>
      <c r="P1369" s="10"/>
    </row>
    <row r="1370" spans="1:16" x14ac:dyDescent="0.15">
      <c r="A1370" s="10"/>
      <c r="B1370" s="3"/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/>
      <c r="N1370" s="10"/>
      <c r="O1370" s="3"/>
      <c r="P1370" s="10"/>
    </row>
    <row r="1371" spans="1:16" x14ac:dyDescent="0.15">
      <c r="A1371" s="10"/>
      <c r="B1371" s="3"/>
      <c r="C1371" s="10"/>
      <c r="D1371" s="10"/>
      <c r="E1371" s="10"/>
      <c r="F1371" s="10"/>
      <c r="G1371" s="10"/>
      <c r="H1371" s="10"/>
      <c r="I1371" s="10"/>
      <c r="J1371" s="10"/>
      <c r="K1371" s="10"/>
      <c r="L1371" s="10"/>
      <c r="M1371" s="10"/>
      <c r="N1371" s="10"/>
      <c r="O1371" s="3"/>
      <c r="P1371" s="10"/>
    </row>
    <row r="1372" spans="1:16" x14ac:dyDescent="0.15">
      <c r="A1372" s="10"/>
      <c r="B1372" s="3"/>
      <c r="C1372" s="10"/>
      <c r="D1372" s="10"/>
      <c r="E1372" s="10"/>
      <c r="F1372" s="10"/>
      <c r="G1372" s="10"/>
      <c r="H1372" s="10"/>
      <c r="I1372" s="10"/>
      <c r="J1372" s="10"/>
      <c r="K1372" s="10"/>
      <c r="L1372" s="10"/>
      <c r="M1372" s="10"/>
      <c r="N1372" s="10"/>
      <c r="O1372" s="3"/>
      <c r="P1372" s="10"/>
    </row>
    <row r="1373" spans="1:16" x14ac:dyDescent="0.15">
      <c r="A1373" s="10"/>
      <c r="B1373" s="3"/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/>
      <c r="N1373" s="10"/>
      <c r="O1373" s="3"/>
      <c r="P1373" s="10"/>
    </row>
    <row r="1374" spans="1:16" x14ac:dyDescent="0.15">
      <c r="A1374" s="10"/>
      <c r="B1374" s="3"/>
      <c r="C1374" s="10"/>
      <c r="D1374" s="10"/>
      <c r="E1374" s="10"/>
      <c r="F1374" s="10"/>
      <c r="G1374" s="10"/>
      <c r="H1374" s="10"/>
      <c r="I1374" s="10"/>
      <c r="J1374" s="10"/>
      <c r="K1374" s="10"/>
      <c r="L1374" s="10"/>
      <c r="M1374" s="10"/>
      <c r="N1374" s="10"/>
      <c r="O1374" s="3"/>
      <c r="P1374" s="10"/>
    </row>
    <row r="1375" spans="1:16" x14ac:dyDescent="0.15">
      <c r="A1375" s="10"/>
      <c r="B1375" s="3"/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/>
      <c r="N1375" s="10"/>
      <c r="O1375" s="3"/>
      <c r="P1375" s="10"/>
    </row>
    <row r="1376" spans="1:16" x14ac:dyDescent="0.15">
      <c r="A1376" s="10"/>
      <c r="B1376" s="3"/>
      <c r="C1376" s="10"/>
      <c r="D1376" s="10"/>
      <c r="E1376" s="10"/>
      <c r="F1376" s="10"/>
      <c r="G1376" s="10"/>
      <c r="H1376" s="10"/>
      <c r="I1376" s="10"/>
      <c r="J1376" s="10"/>
      <c r="K1376" s="10"/>
      <c r="L1376" s="10"/>
      <c r="M1376" s="10"/>
      <c r="N1376" s="10"/>
      <c r="O1376" s="3"/>
      <c r="P1376" s="10"/>
    </row>
    <row r="1377" spans="1:16" x14ac:dyDescent="0.15">
      <c r="A1377" s="10"/>
      <c r="B1377" s="3"/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/>
      <c r="N1377" s="10"/>
      <c r="O1377" s="3"/>
      <c r="P1377" s="10"/>
    </row>
    <row r="1378" spans="1:16" x14ac:dyDescent="0.15">
      <c r="A1378" s="10"/>
      <c r="B1378" s="3"/>
      <c r="C1378" s="10"/>
      <c r="D1378" s="10"/>
      <c r="E1378" s="10"/>
      <c r="F1378" s="10"/>
      <c r="G1378" s="10"/>
      <c r="H1378" s="10"/>
      <c r="I1378" s="10"/>
      <c r="J1378" s="10"/>
      <c r="K1378" s="10"/>
      <c r="L1378" s="10"/>
      <c r="M1378" s="10"/>
      <c r="N1378" s="10"/>
      <c r="O1378" s="3"/>
      <c r="P1378" s="10"/>
    </row>
    <row r="1379" spans="1:16" x14ac:dyDescent="0.15">
      <c r="A1379" s="10"/>
      <c r="B1379" s="3"/>
      <c r="C1379" s="10"/>
      <c r="D1379" s="10"/>
      <c r="E1379" s="10"/>
      <c r="F1379" s="10"/>
      <c r="G1379" s="10"/>
      <c r="H1379" s="10"/>
      <c r="I1379" s="10"/>
      <c r="J1379" s="10"/>
      <c r="K1379" s="10"/>
      <c r="L1379" s="10"/>
      <c r="M1379" s="10"/>
      <c r="N1379" s="10"/>
      <c r="O1379" s="3"/>
      <c r="P1379" s="10"/>
    </row>
    <row r="1380" spans="1:16" x14ac:dyDescent="0.15">
      <c r="A1380" s="10"/>
      <c r="B1380" s="3"/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/>
      <c r="N1380" s="10"/>
      <c r="O1380" s="3"/>
      <c r="P1380" s="10"/>
    </row>
    <row r="1381" spans="1:16" x14ac:dyDescent="0.15">
      <c r="A1381" s="10"/>
      <c r="B1381" s="3"/>
      <c r="C1381" s="10"/>
      <c r="D1381" s="10"/>
      <c r="E1381" s="10"/>
      <c r="F1381" s="10"/>
      <c r="G1381" s="10"/>
      <c r="H1381" s="10"/>
      <c r="I1381" s="10"/>
      <c r="J1381" s="10"/>
      <c r="K1381" s="10"/>
      <c r="L1381" s="10"/>
      <c r="M1381" s="10"/>
      <c r="N1381" s="10"/>
      <c r="O1381" s="3"/>
      <c r="P1381" s="10"/>
    </row>
    <row r="1382" spans="1:16" x14ac:dyDescent="0.15">
      <c r="A1382" s="10"/>
      <c r="B1382" s="3"/>
      <c r="C1382" s="10"/>
      <c r="D1382" s="10"/>
      <c r="E1382" s="10"/>
      <c r="F1382" s="10"/>
      <c r="G1382" s="10"/>
      <c r="H1382" s="10"/>
      <c r="I1382" s="10"/>
      <c r="J1382" s="10"/>
      <c r="K1382" s="10"/>
      <c r="L1382" s="10"/>
      <c r="M1382" s="10"/>
      <c r="N1382" s="10"/>
      <c r="O1382" s="3"/>
      <c r="P1382" s="10"/>
    </row>
    <row r="1383" spans="1:16" x14ac:dyDescent="0.15">
      <c r="A1383" s="10"/>
      <c r="B1383" s="3"/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/>
      <c r="N1383" s="10"/>
      <c r="O1383" s="3"/>
      <c r="P1383" s="10"/>
    </row>
    <row r="1384" spans="1:16" x14ac:dyDescent="0.15">
      <c r="A1384" s="10"/>
      <c r="B1384" s="3"/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/>
      <c r="N1384" s="10"/>
      <c r="O1384" s="3"/>
      <c r="P1384" s="10"/>
    </row>
    <row r="1385" spans="1:16" x14ac:dyDescent="0.15">
      <c r="A1385" s="10"/>
      <c r="B1385" s="3"/>
      <c r="C1385" s="10"/>
      <c r="D1385" s="10"/>
      <c r="E1385" s="10"/>
      <c r="F1385" s="10"/>
      <c r="G1385" s="10"/>
      <c r="H1385" s="10"/>
      <c r="I1385" s="10"/>
      <c r="J1385" s="10"/>
      <c r="K1385" s="10"/>
      <c r="L1385" s="10"/>
      <c r="M1385" s="10"/>
      <c r="N1385" s="10"/>
      <c r="O1385" s="3"/>
      <c r="P1385" s="10"/>
    </row>
    <row r="1386" spans="1:16" x14ac:dyDescent="0.15">
      <c r="A1386" s="10"/>
      <c r="B1386" s="3"/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/>
      <c r="N1386" s="10"/>
      <c r="O1386" s="3"/>
      <c r="P1386" s="10"/>
    </row>
    <row r="1387" spans="1:16" x14ac:dyDescent="0.15">
      <c r="A1387" s="10"/>
      <c r="B1387" s="3"/>
      <c r="C1387" s="10"/>
      <c r="D1387" s="10"/>
      <c r="E1387" s="10"/>
      <c r="F1387" s="10"/>
      <c r="G1387" s="10"/>
      <c r="H1387" s="10"/>
      <c r="I1387" s="10"/>
      <c r="J1387" s="10"/>
      <c r="K1387" s="10"/>
      <c r="L1387" s="10"/>
      <c r="M1387" s="10"/>
      <c r="N1387" s="10"/>
      <c r="O1387" s="3"/>
      <c r="P1387" s="10"/>
    </row>
    <row r="1388" spans="1:16" x14ac:dyDescent="0.15">
      <c r="A1388" s="10"/>
      <c r="B1388" s="3"/>
      <c r="C1388" s="10"/>
      <c r="D1388" s="10"/>
      <c r="E1388" s="10"/>
      <c r="F1388" s="10"/>
      <c r="G1388" s="10"/>
      <c r="H1388" s="10"/>
      <c r="I1388" s="10"/>
      <c r="J1388" s="10"/>
      <c r="K1388" s="10"/>
      <c r="L1388" s="10"/>
      <c r="M1388" s="10"/>
      <c r="N1388" s="10"/>
      <c r="O1388" s="3"/>
      <c r="P1388" s="10"/>
    </row>
    <row r="1389" spans="1:16" x14ac:dyDescent="0.15">
      <c r="A1389" s="10"/>
      <c r="B1389" s="3"/>
      <c r="C1389" s="10"/>
      <c r="D1389" s="10"/>
      <c r="E1389" s="10"/>
      <c r="F1389" s="10"/>
      <c r="G1389" s="10"/>
      <c r="H1389" s="10"/>
      <c r="I1389" s="10"/>
      <c r="J1389" s="10"/>
      <c r="K1389" s="10"/>
      <c r="L1389" s="10"/>
      <c r="M1389" s="10"/>
      <c r="N1389" s="10"/>
      <c r="O1389" s="3"/>
      <c r="P1389" s="10"/>
    </row>
    <row r="1390" spans="1:16" x14ac:dyDescent="0.15">
      <c r="A1390" s="10"/>
      <c r="B1390" s="3"/>
      <c r="C1390" s="10"/>
      <c r="D1390" s="10"/>
      <c r="E1390" s="10"/>
      <c r="F1390" s="10"/>
      <c r="G1390" s="10"/>
      <c r="H1390" s="10"/>
      <c r="I1390" s="10"/>
      <c r="J1390" s="10"/>
      <c r="K1390" s="10"/>
      <c r="L1390" s="10"/>
      <c r="M1390" s="10"/>
      <c r="N1390" s="10"/>
      <c r="O1390" s="3"/>
      <c r="P1390" s="10"/>
    </row>
    <row r="1391" spans="1:16" x14ac:dyDescent="0.15">
      <c r="A1391" s="10"/>
      <c r="B1391" s="3"/>
      <c r="C1391" s="10"/>
      <c r="D1391" s="10"/>
      <c r="E1391" s="10"/>
      <c r="F1391" s="10"/>
      <c r="G1391" s="10"/>
      <c r="H1391" s="10"/>
      <c r="I1391" s="10"/>
      <c r="J1391" s="10"/>
      <c r="K1391" s="10"/>
      <c r="L1391" s="10"/>
      <c r="M1391" s="10"/>
      <c r="N1391" s="10"/>
      <c r="O1391" s="3"/>
      <c r="P1391" s="10"/>
    </row>
    <row r="1392" spans="1:16" x14ac:dyDescent="0.15">
      <c r="A1392" s="10"/>
      <c r="B1392" s="3"/>
      <c r="C1392" s="10"/>
      <c r="D1392" s="10"/>
      <c r="E1392" s="10"/>
      <c r="F1392" s="10"/>
      <c r="G1392" s="10"/>
      <c r="H1392" s="10"/>
      <c r="I1392" s="10"/>
      <c r="J1392" s="10"/>
      <c r="K1392" s="10"/>
      <c r="L1392" s="10"/>
      <c r="M1392" s="10"/>
      <c r="N1392" s="10"/>
      <c r="O1392" s="3"/>
      <c r="P1392" s="10"/>
    </row>
    <row r="1393" spans="1:16" x14ac:dyDescent="0.15">
      <c r="A1393" s="10"/>
      <c r="B1393" s="3"/>
      <c r="C1393" s="10"/>
      <c r="D1393" s="10"/>
      <c r="E1393" s="10"/>
      <c r="F1393" s="10"/>
      <c r="G1393" s="10"/>
      <c r="H1393" s="10"/>
      <c r="I1393" s="10"/>
      <c r="J1393" s="10"/>
      <c r="K1393" s="10"/>
      <c r="L1393" s="10"/>
      <c r="M1393" s="10"/>
      <c r="N1393" s="10"/>
      <c r="O1393" s="3"/>
      <c r="P1393" s="10"/>
    </row>
    <row r="1394" spans="1:16" x14ac:dyDescent="0.15">
      <c r="A1394" s="10"/>
      <c r="B1394" s="3"/>
      <c r="C1394" s="10"/>
      <c r="D1394" s="10"/>
      <c r="E1394" s="10"/>
      <c r="F1394" s="10"/>
      <c r="G1394" s="10"/>
      <c r="H1394" s="10"/>
      <c r="I1394" s="10"/>
      <c r="J1394" s="10"/>
      <c r="K1394" s="10"/>
      <c r="L1394" s="10"/>
      <c r="M1394" s="10"/>
      <c r="N1394" s="10"/>
      <c r="O1394" s="3"/>
      <c r="P1394" s="10"/>
    </row>
    <row r="1395" spans="1:16" x14ac:dyDescent="0.15">
      <c r="A1395" s="10"/>
      <c r="B1395" s="3"/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/>
      <c r="N1395" s="10"/>
      <c r="O1395" s="3"/>
      <c r="P1395" s="10"/>
    </row>
    <row r="1396" spans="1:16" x14ac:dyDescent="0.15">
      <c r="A1396" s="10"/>
      <c r="B1396" s="3"/>
      <c r="C1396" s="10"/>
      <c r="D1396" s="10"/>
      <c r="E1396" s="10"/>
      <c r="F1396" s="10"/>
      <c r="G1396" s="10"/>
      <c r="H1396" s="10"/>
      <c r="I1396" s="10"/>
      <c r="J1396" s="10"/>
      <c r="K1396" s="10"/>
      <c r="L1396" s="10"/>
      <c r="M1396" s="10"/>
      <c r="N1396" s="10"/>
      <c r="O1396" s="3"/>
      <c r="P1396" s="10"/>
    </row>
    <row r="1397" spans="1:16" x14ac:dyDescent="0.15">
      <c r="A1397" s="10"/>
      <c r="B1397" s="3"/>
      <c r="C1397" s="10"/>
      <c r="D1397" s="10"/>
      <c r="E1397" s="10"/>
      <c r="F1397" s="10"/>
      <c r="G1397" s="10"/>
      <c r="H1397" s="10"/>
      <c r="I1397" s="10"/>
      <c r="J1397" s="10"/>
      <c r="K1397" s="10"/>
      <c r="L1397" s="10"/>
      <c r="M1397" s="10"/>
      <c r="N1397" s="10"/>
      <c r="O1397" s="3"/>
      <c r="P1397" s="10"/>
    </row>
    <row r="1398" spans="1:16" x14ac:dyDescent="0.15">
      <c r="A1398" s="10"/>
      <c r="B1398" s="3"/>
      <c r="C1398" s="10"/>
      <c r="D1398" s="10"/>
      <c r="E1398" s="10"/>
      <c r="F1398" s="10"/>
      <c r="G1398" s="10"/>
      <c r="H1398" s="10"/>
      <c r="I1398" s="10"/>
      <c r="J1398" s="10"/>
      <c r="K1398" s="10"/>
      <c r="L1398" s="10"/>
      <c r="M1398" s="10"/>
      <c r="N1398" s="10"/>
      <c r="O1398" s="3"/>
      <c r="P1398" s="10"/>
    </row>
    <row r="1399" spans="1:16" x14ac:dyDescent="0.15">
      <c r="A1399" s="10"/>
      <c r="B1399" s="3"/>
      <c r="C1399" s="10"/>
      <c r="D1399" s="10"/>
      <c r="E1399" s="10"/>
      <c r="F1399" s="10"/>
      <c r="G1399" s="10"/>
      <c r="H1399" s="10"/>
      <c r="I1399" s="10"/>
      <c r="J1399" s="10"/>
      <c r="K1399" s="10"/>
      <c r="L1399" s="10"/>
      <c r="M1399" s="10"/>
      <c r="N1399" s="10"/>
      <c r="O1399" s="3"/>
      <c r="P1399" s="10"/>
    </row>
    <row r="1400" spans="1:16" x14ac:dyDescent="0.15">
      <c r="A1400" s="10"/>
      <c r="B1400" s="3"/>
      <c r="C1400" s="10"/>
      <c r="D1400" s="10"/>
      <c r="E1400" s="10"/>
      <c r="F1400" s="10"/>
      <c r="G1400" s="10"/>
      <c r="H1400" s="10"/>
      <c r="I1400" s="10"/>
      <c r="J1400" s="10"/>
      <c r="K1400" s="10"/>
      <c r="L1400" s="10"/>
      <c r="M1400" s="10"/>
      <c r="N1400" s="10"/>
      <c r="O1400" s="3"/>
      <c r="P1400" s="10"/>
    </row>
    <row r="1401" spans="1:16" x14ac:dyDescent="0.15">
      <c r="A1401" s="10"/>
      <c r="B1401" s="3"/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/>
      <c r="N1401" s="10"/>
      <c r="O1401" s="3"/>
      <c r="P1401" s="10"/>
    </row>
    <row r="1402" spans="1:16" x14ac:dyDescent="0.15">
      <c r="A1402" s="10"/>
      <c r="B1402" s="3"/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/>
      <c r="N1402" s="10"/>
      <c r="O1402" s="3"/>
      <c r="P1402" s="10"/>
    </row>
    <row r="1403" spans="1:16" x14ac:dyDescent="0.15">
      <c r="A1403" s="10"/>
      <c r="B1403" s="3"/>
      <c r="C1403" s="10"/>
      <c r="D1403" s="10"/>
      <c r="E1403" s="10"/>
      <c r="F1403" s="10"/>
      <c r="G1403" s="10"/>
      <c r="H1403" s="10"/>
      <c r="I1403" s="10"/>
      <c r="J1403" s="10"/>
      <c r="K1403" s="10"/>
      <c r="L1403" s="10"/>
      <c r="M1403" s="10"/>
      <c r="N1403" s="10"/>
      <c r="O1403" s="3"/>
      <c r="P1403" s="10"/>
    </row>
    <row r="1404" spans="1:16" x14ac:dyDescent="0.15">
      <c r="A1404" s="10"/>
      <c r="B1404" s="3"/>
      <c r="C1404" s="10"/>
      <c r="D1404" s="10"/>
      <c r="E1404" s="10"/>
      <c r="F1404" s="10"/>
      <c r="G1404" s="10"/>
      <c r="H1404" s="10"/>
      <c r="I1404" s="10"/>
      <c r="J1404" s="10"/>
      <c r="K1404" s="10"/>
      <c r="L1404" s="10"/>
      <c r="M1404" s="10"/>
      <c r="N1404" s="10"/>
      <c r="O1404" s="3"/>
      <c r="P1404" s="10"/>
    </row>
    <row r="1405" spans="1:16" x14ac:dyDescent="0.15">
      <c r="A1405" s="10"/>
      <c r="B1405" s="3"/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/>
      <c r="N1405" s="10"/>
      <c r="O1405" s="3"/>
      <c r="P1405" s="10"/>
    </row>
    <row r="1406" spans="1:16" x14ac:dyDescent="0.15">
      <c r="A1406" s="10"/>
      <c r="B1406" s="3"/>
      <c r="C1406" s="10"/>
      <c r="D1406" s="10"/>
      <c r="E1406" s="10"/>
      <c r="F1406" s="10"/>
      <c r="G1406" s="10"/>
      <c r="H1406" s="10"/>
      <c r="I1406" s="10"/>
      <c r="J1406" s="10"/>
      <c r="K1406" s="10"/>
      <c r="L1406" s="10"/>
      <c r="M1406" s="10"/>
      <c r="N1406" s="10"/>
      <c r="O1406" s="3"/>
      <c r="P1406" s="10"/>
    </row>
    <row r="1407" spans="1:16" x14ac:dyDescent="0.15">
      <c r="A1407" s="10"/>
      <c r="B1407" s="3"/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/>
      <c r="N1407" s="10"/>
      <c r="O1407" s="3"/>
      <c r="P1407" s="10"/>
    </row>
    <row r="1408" spans="1:16" x14ac:dyDescent="0.15">
      <c r="A1408" s="10"/>
      <c r="B1408" s="3"/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/>
      <c r="N1408" s="10"/>
      <c r="O1408" s="3"/>
      <c r="P1408" s="10"/>
    </row>
    <row r="1409" spans="1:16" x14ac:dyDescent="0.15">
      <c r="A1409" s="10"/>
      <c r="B1409" s="3"/>
      <c r="C1409" s="10"/>
      <c r="D1409" s="10"/>
      <c r="E1409" s="10"/>
      <c r="F1409" s="10"/>
      <c r="G1409" s="10"/>
      <c r="H1409" s="10"/>
      <c r="I1409" s="10"/>
      <c r="J1409" s="10"/>
      <c r="K1409" s="10"/>
      <c r="L1409" s="10"/>
      <c r="M1409" s="10"/>
      <c r="N1409" s="10"/>
      <c r="O1409" s="3"/>
      <c r="P1409" s="10"/>
    </row>
    <row r="1410" spans="1:16" x14ac:dyDescent="0.15">
      <c r="A1410" s="10"/>
      <c r="B1410" s="3"/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/>
      <c r="N1410" s="10"/>
      <c r="O1410" s="3"/>
      <c r="P1410" s="10"/>
    </row>
    <row r="1411" spans="1:16" x14ac:dyDescent="0.15">
      <c r="A1411" s="10"/>
      <c r="B1411" s="3"/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/>
      <c r="N1411" s="10"/>
      <c r="O1411" s="3"/>
      <c r="P1411" s="10"/>
    </row>
    <row r="1412" spans="1:16" x14ac:dyDescent="0.15">
      <c r="A1412" s="10"/>
      <c r="B1412" s="3"/>
      <c r="C1412" s="10"/>
      <c r="D1412" s="10"/>
      <c r="E1412" s="10"/>
      <c r="F1412" s="10"/>
      <c r="G1412" s="10"/>
      <c r="H1412" s="10"/>
      <c r="I1412" s="10"/>
      <c r="J1412" s="10"/>
      <c r="K1412" s="10"/>
      <c r="L1412" s="10"/>
      <c r="M1412" s="10"/>
      <c r="N1412" s="10"/>
      <c r="O1412" s="3"/>
      <c r="P1412" s="10"/>
    </row>
    <row r="1413" spans="1:16" x14ac:dyDescent="0.15">
      <c r="A1413" s="10"/>
      <c r="B1413" s="3"/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/>
      <c r="N1413" s="10"/>
      <c r="O1413" s="3"/>
      <c r="P1413" s="10"/>
    </row>
    <row r="1414" spans="1:16" x14ac:dyDescent="0.15">
      <c r="A1414" s="10"/>
      <c r="B1414" s="3"/>
      <c r="C1414" s="10"/>
      <c r="D1414" s="10"/>
      <c r="E1414" s="10"/>
      <c r="F1414" s="10"/>
      <c r="G1414" s="10"/>
      <c r="H1414" s="10"/>
      <c r="I1414" s="10"/>
      <c r="J1414" s="10"/>
      <c r="K1414" s="10"/>
      <c r="L1414" s="10"/>
      <c r="M1414" s="10"/>
      <c r="N1414" s="10"/>
      <c r="O1414" s="3"/>
      <c r="P1414" s="10"/>
    </row>
    <row r="1415" spans="1:16" x14ac:dyDescent="0.15">
      <c r="A1415" s="10"/>
      <c r="B1415" s="3"/>
      <c r="C1415" s="10"/>
      <c r="D1415" s="10"/>
      <c r="E1415" s="10"/>
      <c r="F1415" s="10"/>
      <c r="G1415" s="10"/>
      <c r="H1415" s="10"/>
      <c r="I1415" s="10"/>
      <c r="J1415" s="10"/>
      <c r="K1415" s="10"/>
      <c r="L1415" s="10"/>
      <c r="M1415" s="10"/>
      <c r="N1415" s="10"/>
      <c r="O1415" s="3"/>
      <c r="P1415" s="10"/>
    </row>
    <row r="1416" spans="1:16" x14ac:dyDescent="0.15">
      <c r="A1416" s="10"/>
      <c r="B1416" s="3"/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/>
      <c r="N1416" s="10"/>
      <c r="O1416" s="3"/>
      <c r="P1416" s="10"/>
    </row>
    <row r="1417" spans="1:16" x14ac:dyDescent="0.15">
      <c r="A1417" s="10"/>
      <c r="B1417" s="3"/>
      <c r="C1417" s="10"/>
      <c r="D1417" s="10"/>
      <c r="E1417" s="10"/>
      <c r="F1417" s="10"/>
      <c r="G1417" s="10"/>
      <c r="H1417" s="10"/>
      <c r="I1417" s="10"/>
      <c r="J1417" s="10"/>
      <c r="K1417" s="10"/>
      <c r="L1417" s="10"/>
      <c r="M1417" s="10"/>
      <c r="N1417" s="10"/>
      <c r="O1417" s="3"/>
      <c r="P1417" s="10"/>
    </row>
    <row r="1418" spans="1:16" x14ac:dyDescent="0.15">
      <c r="A1418" s="10"/>
      <c r="B1418" s="3"/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/>
      <c r="N1418" s="10"/>
      <c r="O1418" s="3"/>
      <c r="P1418" s="10"/>
    </row>
    <row r="1419" spans="1:16" x14ac:dyDescent="0.15">
      <c r="A1419" s="10"/>
      <c r="B1419" s="3"/>
      <c r="C1419" s="10"/>
      <c r="D1419" s="10"/>
      <c r="E1419" s="10"/>
      <c r="F1419" s="10"/>
      <c r="G1419" s="10"/>
      <c r="H1419" s="10"/>
      <c r="I1419" s="10"/>
      <c r="J1419" s="10"/>
      <c r="K1419" s="10"/>
      <c r="L1419" s="10"/>
      <c r="M1419" s="10"/>
      <c r="N1419" s="10"/>
      <c r="O1419" s="3"/>
      <c r="P1419" s="10"/>
    </row>
    <row r="1420" spans="1:16" x14ac:dyDescent="0.15">
      <c r="A1420" s="10"/>
      <c r="B1420" s="3"/>
      <c r="C1420" s="10"/>
      <c r="D1420" s="10"/>
      <c r="E1420" s="10"/>
      <c r="F1420" s="10"/>
      <c r="G1420" s="10"/>
      <c r="H1420" s="10"/>
      <c r="I1420" s="10"/>
      <c r="J1420" s="10"/>
      <c r="K1420" s="10"/>
      <c r="L1420" s="10"/>
      <c r="M1420" s="10"/>
      <c r="N1420" s="10"/>
      <c r="O1420" s="3"/>
      <c r="P1420" s="10"/>
    </row>
    <row r="1421" spans="1:16" x14ac:dyDescent="0.15">
      <c r="A1421" s="10"/>
      <c r="B1421" s="3"/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/>
      <c r="N1421" s="10"/>
      <c r="O1421" s="3"/>
      <c r="P1421" s="10"/>
    </row>
    <row r="1422" spans="1:16" x14ac:dyDescent="0.15">
      <c r="A1422" s="10"/>
      <c r="B1422" s="3"/>
      <c r="C1422" s="10"/>
      <c r="D1422" s="10"/>
      <c r="E1422" s="10"/>
      <c r="F1422" s="10"/>
      <c r="G1422" s="10"/>
      <c r="H1422" s="10"/>
      <c r="I1422" s="10"/>
      <c r="J1422" s="10"/>
      <c r="K1422" s="10"/>
      <c r="L1422" s="10"/>
      <c r="M1422" s="10"/>
      <c r="N1422" s="10"/>
      <c r="O1422" s="3"/>
      <c r="P1422" s="10"/>
    </row>
    <row r="1423" spans="1:16" x14ac:dyDescent="0.15">
      <c r="A1423" s="10"/>
      <c r="B1423" s="3"/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/>
      <c r="N1423" s="10"/>
      <c r="O1423" s="3"/>
      <c r="P1423" s="10"/>
    </row>
    <row r="1424" spans="1:16" x14ac:dyDescent="0.15">
      <c r="A1424" s="10"/>
      <c r="B1424" s="3"/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/>
      <c r="N1424" s="10"/>
      <c r="O1424" s="3"/>
      <c r="P1424" s="10"/>
    </row>
    <row r="1425" spans="1:16" x14ac:dyDescent="0.15">
      <c r="A1425" s="10"/>
      <c r="B1425" s="3"/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/>
      <c r="N1425" s="10"/>
      <c r="O1425" s="3"/>
      <c r="P1425" s="10"/>
    </row>
    <row r="1426" spans="1:16" x14ac:dyDescent="0.15">
      <c r="A1426" s="10"/>
      <c r="B1426" s="3"/>
      <c r="C1426" s="10"/>
      <c r="D1426" s="10"/>
      <c r="E1426" s="10"/>
      <c r="F1426" s="10"/>
      <c r="G1426" s="10"/>
      <c r="H1426" s="10"/>
      <c r="I1426" s="10"/>
      <c r="J1426" s="10"/>
      <c r="K1426" s="10"/>
      <c r="L1426" s="10"/>
      <c r="M1426" s="10"/>
      <c r="N1426" s="10"/>
      <c r="O1426" s="3"/>
      <c r="P1426" s="10"/>
    </row>
    <row r="1427" spans="1:16" x14ac:dyDescent="0.15">
      <c r="A1427" s="10"/>
      <c r="B1427" s="3"/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/>
      <c r="N1427" s="10"/>
      <c r="O1427" s="3"/>
      <c r="P1427" s="10"/>
    </row>
    <row r="1428" spans="1:16" x14ac:dyDescent="0.15">
      <c r="A1428" s="10"/>
      <c r="B1428" s="3"/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/>
      <c r="N1428" s="10"/>
      <c r="O1428" s="3"/>
      <c r="P1428" s="10"/>
    </row>
    <row r="1429" spans="1:16" x14ac:dyDescent="0.15">
      <c r="A1429" s="10"/>
      <c r="B1429" s="3"/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/>
      <c r="N1429" s="10"/>
      <c r="O1429" s="3"/>
      <c r="P1429" s="10"/>
    </row>
    <row r="1430" spans="1:16" x14ac:dyDescent="0.15">
      <c r="A1430" s="10"/>
      <c r="B1430" s="3"/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/>
      <c r="N1430" s="10"/>
      <c r="O1430" s="3"/>
      <c r="P1430" s="10"/>
    </row>
    <row r="1431" spans="1:16" x14ac:dyDescent="0.15">
      <c r="A1431" s="10"/>
      <c r="B1431" s="3"/>
      <c r="C1431" s="10"/>
      <c r="D1431" s="10"/>
      <c r="E1431" s="10"/>
      <c r="F1431" s="10"/>
      <c r="G1431" s="10"/>
      <c r="H1431" s="10"/>
      <c r="I1431" s="10"/>
      <c r="J1431" s="10"/>
      <c r="K1431" s="10"/>
      <c r="L1431" s="10"/>
      <c r="M1431" s="10"/>
      <c r="N1431" s="10"/>
      <c r="O1431" s="3"/>
      <c r="P1431" s="10"/>
    </row>
    <row r="1432" spans="1:16" x14ac:dyDescent="0.15">
      <c r="A1432" s="10"/>
      <c r="B1432" s="3"/>
      <c r="C1432" s="10"/>
      <c r="D1432" s="10"/>
      <c r="E1432" s="10"/>
      <c r="F1432" s="10"/>
      <c r="G1432" s="10"/>
      <c r="H1432" s="10"/>
      <c r="I1432" s="10"/>
      <c r="J1432" s="10"/>
      <c r="K1432" s="10"/>
      <c r="L1432" s="10"/>
      <c r="M1432" s="10"/>
      <c r="N1432" s="10"/>
      <c r="O1432" s="3"/>
      <c r="P1432" s="10"/>
    </row>
    <row r="1433" spans="1:16" x14ac:dyDescent="0.15">
      <c r="A1433" s="10"/>
      <c r="B1433" s="3"/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/>
      <c r="N1433" s="10"/>
      <c r="O1433" s="3"/>
      <c r="P1433" s="10"/>
    </row>
    <row r="1434" spans="1:16" x14ac:dyDescent="0.15">
      <c r="A1434" s="10"/>
      <c r="B1434" s="3"/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/>
      <c r="N1434" s="10"/>
      <c r="O1434" s="3"/>
      <c r="P1434" s="10"/>
    </row>
    <row r="1435" spans="1:16" x14ac:dyDescent="0.15">
      <c r="A1435" s="10"/>
      <c r="B1435" s="3"/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/>
      <c r="N1435" s="10"/>
      <c r="O1435" s="3"/>
      <c r="P1435" s="10"/>
    </row>
    <row r="1436" spans="1:16" x14ac:dyDescent="0.15">
      <c r="A1436" s="10"/>
      <c r="B1436" s="3"/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/>
      <c r="N1436" s="10"/>
      <c r="O1436" s="3"/>
      <c r="P1436" s="10"/>
    </row>
    <row r="1437" spans="1:16" x14ac:dyDescent="0.15">
      <c r="A1437" s="10"/>
      <c r="B1437" s="3"/>
      <c r="C1437" s="10"/>
      <c r="D1437" s="10"/>
      <c r="E1437" s="10"/>
      <c r="F1437" s="10"/>
      <c r="G1437" s="10"/>
      <c r="H1437" s="10"/>
      <c r="I1437" s="10"/>
      <c r="J1437" s="10"/>
      <c r="K1437" s="10"/>
      <c r="L1437" s="10"/>
      <c r="M1437" s="10"/>
      <c r="N1437" s="10"/>
      <c r="O1437" s="3"/>
      <c r="P1437" s="10"/>
    </row>
    <row r="1438" spans="1:16" x14ac:dyDescent="0.15">
      <c r="A1438" s="10"/>
      <c r="B1438" s="3"/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/>
      <c r="N1438" s="10"/>
      <c r="O1438" s="3"/>
      <c r="P1438" s="10"/>
    </row>
    <row r="1439" spans="1:16" x14ac:dyDescent="0.15">
      <c r="A1439" s="10"/>
      <c r="B1439" s="3"/>
      <c r="C1439" s="10"/>
      <c r="D1439" s="10"/>
      <c r="E1439" s="10"/>
      <c r="F1439" s="10"/>
      <c r="G1439" s="10"/>
      <c r="H1439" s="10"/>
      <c r="I1439" s="10"/>
      <c r="J1439" s="10"/>
      <c r="K1439" s="10"/>
      <c r="L1439" s="10"/>
      <c r="M1439" s="10"/>
      <c r="N1439" s="10"/>
      <c r="O1439" s="3"/>
      <c r="P1439" s="10"/>
    </row>
    <row r="1440" spans="1:16" x14ac:dyDescent="0.15">
      <c r="A1440" s="10"/>
      <c r="B1440" s="3"/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/>
      <c r="N1440" s="10"/>
      <c r="O1440" s="3"/>
      <c r="P1440" s="10"/>
    </row>
    <row r="1441" spans="1:16" x14ac:dyDescent="0.15">
      <c r="A1441" s="10"/>
      <c r="B1441" s="3"/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/>
      <c r="N1441" s="10"/>
      <c r="O1441" s="3"/>
      <c r="P1441" s="10"/>
    </row>
    <row r="1442" spans="1:16" x14ac:dyDescent="0.15">
      <c r="A1442" s="10"/>
      <c r="B1442" s="3"/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/>
      <c r="N1442" s="10"/>
      <c r="O1442" s="3"/>
      <c r="P1442" s="10"/>
    </row>
    <row r="1443" spans="1:16" x14ac:dyDescent="0.15">
      <c r="A1443" s="10"/>
      <c r="B1443" s="3"/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/>
      <c r="N1443" s="10"/>
      <c r="O1443" s="3"/>
      <c r="P1443" s="10"/>
    </row>
    <row r="1444" spans="1:16" x14ac:dyDescent="0.15">
      <c r="A1444" s="10"/>
      <c r="B1444" s="3"/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/>
      <c r="N1444" s="10"/>
      <c r="O1444" s="3"/>
      <c r="P1444" s="10"/>
    </row>
    <row r="1445" spans="1:16" x14ac:dyDescent="0.15">
      <c r="A1445" s="10"/>
      <c r="B1445" s="3"/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/>
      <c r="N1445" s="10"/>
      <c r="O1445" s="3"/>
      <c r="P1445" s="10"/>
    </row>
    <row r="1446" spans="1:16" x14ac:dyDescent="0.15">
      <c r="A1446" s="10"/>
      <c r="B1446" s="3"/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/>
      <c r="N1446" s="10"/>
      <c r="O1446" s="3"/>
      <c r="P1446" s="10"/>
    </row>
    <row r="1447" spans="1:16" x14ac:dyDescent="0.15">
      <c r="A1447" s="10"/>
      <c r="B1447" s="3"/>
      <c r="C1447" s="10"/>
      <c r="D1447" s="10"/>
      <c r="E1447" s="10"/>
      <c r="F1447" s="10"/>
      <c r="G1447" s="10"/>
      <c r="H1447" s="10"/>
      <c r="I1447" s="10"/>
      <c r="J1447" s="10"/>
      <c r="K1447" s="10"/>
      <c r="L1447" s="10"/>
      <c r="M1447" s="10"/>
      <c r="N1447" s="10"/>
      <c r="O1447" s="3"/>
      <c r="P1447" s="10"/>
    </row>
    <row r="1448" spans="1:16" x14ac:dyDescent="0.15">
      <c r="A1448" s="10"/>
      <c r="B1448" s="3"/>
      <c r="C1448" s="10"/>
      <c r="D1448" s="10"/>
      <c r="E1448" s="10"/>
      <c r="F1448" s="10"/>
      <c r="G1448" s="10"/>
      <c r="H1448" s="10"/>
      <c r="I1448" s="10"/>
      <c r="J1448" s="10"/>
      <c r="K1448" s="10"/>
      <c r="L1448" s="10"/>
      <c r="M1448" s="10"/>
      <c r="N1448" s="10"/>
      <c r="O1448" s="3"/>
      <c r="P1448" s="10"/>
    </row>
    <row r="1449" spans="1:16" x14ac:dyDescent="0.15">
      <c r="A1449" s="10"/>
      <c r="B1449" s="3"/>
      <c r="C1449" s="10"/>
      <c r="D1449" s="10"/>
      <c r="E1449" s="10"/>
      <c r="F1449" s="10"/>
      <c r="G1449" s="10"/>
      <c r="H1449" s="10"/>
      <c r="I1449" s="10"/>
      <c r="J1449" s="10"/>
      <c r="K1449" s="10"/>
      <c r="L1449" s="10"/>
      <c r="M1449" s="10"/>
      <c r="N1449" s="10"/>
      <c r="O1449" s="3"/>
      <c r="P1449" s="10"/>
    </row>
    <row r="1450" spans="1:16" x14ac:dyDescent="0.15">
      <c r="A1450" s="10"/>
      <c r="B1450" s="3"/>
      <c r="C1450" s="10"/>
      <c r="D1450" s="10"/>
      <c r="E1450" s="10"/>
      <c r="F1450" s="10"/>
      <c r="G1450" s="10"/>
      <c r="H1450" s="10"/>
      <c r="I1450" s="10"/>
      <c r="J1450" s="10"/>
      <c r="K1450" s="10"/>
      <c r="L1450" s="10"/>
      <c r="M1450" s="10"/>
      <c r="N1450" s="10"/>
      <c r="O1450" s="3"/>
      <c r="P1450" s="10"/>
    </row>
    <row r="1451" spans="1:16" x14ac:dyDescent="0.15">
      <c r="A1451" s="10"/>
      <c r="B1451" s="3"/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/>
      <c r="N1451" s="10"/>
      <c r="O1451" s="3"/>
      <c r="P1451" s="10"/>
    </row>
    <row r="1452" spans="1:16" x14ac:dyDescent="0.15">
      <c r="A1452" s="10"/>
      <c r="B1452" s="3"/>
      <c r="C1452" s="10"/>
      <c r="D1452" s="10"/>
      <c r="E1452" s="10"/>
      <c r="F1452" s="10"/>
      <c r="G1452" s="10"/>
      <c r="H1452" s="10"/>
      <c r="I1452" s="10"/>
      <c r="J1452" s="10"/>
      <c r="K1452" s="10"/>
      <c r="L1452" s="10"/>
      <c r="M1452" s="10"/>
      <c r="N1452" s="10"/>
      <c r="O1452" s="3"/>
      <c r="P1452" s="10"/>
    </row>
    <row r="1453" spans="1:16" x14ac:dyDescent="0.15">
      <c r="A1453" s="10"/>
      <c r="B1453" s="3"/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/>
      <c r="N1453" s="10"/>
      <c r="O1453" s="3"/>
      <c r="P1453" s="10"/>
    </row>
    <row r="1454" spans="1:16" x14ac:dyDescent="0.15">
      <c r="A1454" s="10"/>
      <c r="B1454" s="3"/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/>
      <c r="N1454" s="10"/>
      <c r="O1454" s="3"/>
      <c r="P1454" s="10"/>
    </row>
    <row r="1455" spans="1:16" x14ac:dyDescent="0.15">
      <c r="A1455" s="10"/>
      <c r="B1455" s="3"/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/>
      <c r="N1455" s="10"/>
      <c r="O1455" s="3"/>
      <c r="P1455" s="10"/>
    </row>
    <row r="1456" spans="1:16" x14ac:dyDescent="0.15">
      <c r="A1456" s="10"/>
      <c r="B1456" s="3"/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/>
      <c r="N1456" s="10"/>
      <c r="O1456" s="3"/>
      <c r="P1456" s="10"/>
    </row>
    <row r="1457" spans="1:16" x14ac:dyDescent="0.15">
      <c r="A1457" s="10"/>
      <c r="B1457" s="3"/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/>
      <c r="N1457" s="10"/>
      <c r="O1457" s="3"/>
      <c r="P1457" s="10"/>
    </row>
    <row r="1458" spans="1:16" x14ac:dyDescent="0.15">
      <c r="A1458" s="10"/>
      <c r="B1458" s="3"/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/>
      <c r="N1458" s="10"/>
      <c r="O1458" s="3"/>
      <c r="P1458" s="10"/>
    </row>
    <row r="1459" spans="1:16" x14ac:dyDescent="0.15">
      <c r="A1459" s="10"/>
      <c r="B1459" s="3"/>
      <c r="C1459" s="10"/>
      <c r="D1459" s="10"/>
      <c r="E1459" s="10"/>
      <c r="F1459" s="10"/>
      <c r="G1459" s="10"/>
      <c r="H1459" s="10"/>
      <c r="I1459" s="10"/>
      <c r="J1459" s="10"/>
      <c r="K1459" s="10"/>
      <c r="L1459" s="10"/>
      <c r="M1459" s="10"/>
      <c r="N1459" s="10"/>
      <c r="O1459" s="3"/>
      <c r="P1459" s="10"/>
    </row>
    <row r="1460" spans="1:16" x14ac:dyDescent="0.15">
      <c r="A1460" s="10"/>
      <c r="B1460" s="3"/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/>
      <c r="N1460" s="10"/>
      <c r="O1460" s="3"/>
      <c r="P1460" s="10"/>
    </row>
    <row r="1461" spans="1:16" x14ac:dyDescent="0.15">
      <c r="A1461" s="10"/>
      <c r="B1461" s="3"/>
      <c r="C1461" s="10"/>
      <c r="D1461" s="10"/>
      <c r="E1461" s="10"/>
      <c r="F1461" s="10"/>
      <c r="G1461" s="10"/>
      <c r="H1461" s="10"/>
      <c r="I1461" s="10"/>
      <c r="J1461" s="10"/>
      <c r="K1461" s="10"/>
      <c r="L1461" s="10"/>
      <c r="M1461" s="10"/>
      <c r="N1461" s="10"/>
      <c r="O1461" s="3"/>
      <c r="P1461" s="10"/>
    </row>
    <row r="1462" spans="1:16" x14ac:dyDescent="0.15">
      <c r="A1462" s="10"/>
      <c r="B1462" s="3"/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/>
      <c r="N1462" s="10"/>
      <c r="O1462" s="3"/>
      <c r="P1462" s="10"/>
    </row>
    <row r="1463" spans="1:16" x14ac:dyDescent="0.15">
      <c r="A1463" s="10"/>
      <c r="B1463" s="3"/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/>
      <c r="N1463" s="10"/>
      <c r="O1463" s="3"/>
      <c r="P1463" s="10"/>
    </row>
    <row r="1464" spans="1:16" x14ac:dyDescent="0.15">
      <c r="A1464" s="10"/>
      <c r="B1464" s="3"/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/>
      <c r="N1464" s="10"/>
      <c r="O1464" s="3"/>
      <c r="P1464" s="10"/>
    </row>
    <row r="1465" spans="1:16" x14ac:dyDescent="0.15">
      <c r="A1465" s="10"/>
      <c r="B1465" s="3"/>
      <c r="C1465" s="10"/>
      <c r="D1465" s="10"/>
      <c r="E1465" s="10"/>
      <c r="F1465" s="10"/>
      <c r="G1465" s="10"/>
      <c r="H1465" s="10"/>
      <c r="I1465" s="10"/>
      <c r="J1465" s="10"/>
      <c r="K1465" s="10"/>
      <c r="L1465" s="10"/>
      <c r="M1465" s="10"/>
      <c r="N1465" s="10"/>
      <c r="O1465" s="3"/>
      <c r="P1465" s="10"/>
    </row>
    <row r="1466" spans="1:16" x14ac:dyDescent="0.15">
      <c r="A1466" s="10"/>
      <c r="B1466" s="3"/>
      <c r="C1466" s="10"/>
      <c r="D1466" s="10"/>
      <c r="E1466" s="10"/>
      <c r="F1466" s="10"/>
      <c r="G1466" s="10"/>
      <c r="H1466" s="10"/>
      <c r="I1466" s="10"/>
      <c r="J1466" s="10"/>
      <c r="K1466" s="10"/>
      <c r="L1466" s="10"/>
      <c r="M1466" s="10"/>
      <c r="N1466" s="10"/>
      <c r="O1466" s="3"/>
      <c r="P1466" s="10"/>
    </row>
    <row r="1467" spans="1:16" x14ac:dyDescent="0.15">
      <c r="A1467" s="10"/>
      <c r="B1467" s="3"/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/>
      <c r="N1467" s="10"/>
      <c r="O1467" s="3"/>
      <c r="P1467" s="10"/>
    </row>
    <row r="1468" spans="1:16" x14ac:dyDescent="0.15">
      <c r="A1468" s="10"/>
      <c r="B1468" s="3"/>
      <c r="C1468" s="10"/>
      <c r="D1468" s="10"/>
      <c r="E1468" s="10"/>
      <c r="F1468" s="10"/>
      <c r="G1468" s="10"/>
      <c r="H1468" s="10"/>
      <c r="I1468" s="10"/>
      <c r="J1468" s="10"/>
      <c r="K1468" s="10"/>
      <c r="L1468" s="10"/>
      <c r="M1468" s="10"/>
      <c r="N1468" s="10"/>
      <c r="O1468" s="3"/>
      <c r="P1468" s="10"/>
    </row>
    <row r="1469" spans="1:16" x14ac:dyDescent="0.15">
      <c r="A1469" s="10"/>
      <c r="B1469" s="3"/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/>
      <c r="N1469" s="10"/>
      <c r="O1469" s="3"/>
      <c r="P1469" s="10"/>
    </row>
    <row r="1470" spans="1:16" x14ac:dyDescent="0.15">
      <c r="A1470" s="10"/>
      <c r="B1470" s="3"/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/>
      <c r="N1470" s="10"/>
      <c r="O1470" s="3"/>
      <c r="P1470" s="10"/>
    </row>
    <row r="1471" spans="1:16" x14ac:dyDescent="0.15">
      <c r="A1471" s="10"/>
      <c r="B1471" s="3"/>
      <c r="C1471" s="10"/>
      <c r="D1471" s="10"/>
      <c r="E1471" s="10"/>
      <c r="F1471" s="10"/>
      <c r="G1471" s="10"/>
      <c r="H1471" s="10"/>
      <c r="I1471" s="10"/>
      <c r="J1471" s="10"/>
      <c r="K1471" s="10"/>
      <c r="L1471" s="10"/>
      <c r="M1471" s="10"/>
      <c r="N1471" s="10"/>
      <c r="O1471" s="3"/>
      <c r="P1471" s="10"/>
    </row>
    <row r="1472" spans="1:16" x14ac:dyDescent="0.15">
      <c r="A1472" s="10"/>
      <c r="B1472" s="3"/>
      <c r="C1472" s="10"/>
      <c r="D1472" s="10"/>
      <c r="E1472" s="10"/>
      <c r="F1472" s="10"/>
      <c r="G1472" s="10"/>
      <c r="H1472" s="10"/>
      <c r="I1472" s="10"/>
      <c r="J1472" s="10"/>
      <c r="K1472" s="10"/>
      <c r="L1472" s="10"/>
      <c r="M1472" s="10"/>
      <c r="N1472" s="10"/>
      <c r="O1472" s="3"/>
      <c r="P1472" s="10"/>
    </row>
    <row r="1473" spans="1:16" x14ac:dyDescent="0.15">
      <c r="A1473" s="10"/>
      <c r="B1473" s="3"/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/>
      <c r="N1473" s="10"/>
      <c r="O1473" s="3"/>
      <c r="P1473" s="10"/>
    </row>
    <row r="1474" spans="1:16" x14ac:dyDescent="0.15">
      <c r="A1474" s="10"/>
      <c r="B1474" s="3"/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/>
      <c r="N1474" s="10"/>
      <c r="O1474" s="3"/>
      <c r="P1474" s="10"/>
    </row>
    <row r="1475" spans="1:16" x14ac:dyDescent="0.15">
      <c r="A1475" s="10"/>
      <c r="B1475" s="3"/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/>
      <c r="N1475" s="10"/>
      <c r="O1475" s="3"/>
      <c r="P1475" s="10"/>
    </row>
    <row r="1476" spans="1:16" x14ac:dyDescent="0.15">
      <c r="A1476" s="10"/>
      <c r="B1476" s="3"/>
      <c r="C1476" s="10"/>
      <c r="D1476" s="10"/>
      <c r="E1476" s="10"/>
      <c r="F1476" s="10"/>
      <c r="G1476" s="10"/>
      <c r="H1476" s="10"/>
      <c r="I1476" s="10"/>
      <c r="J1476" s="10"/>
      <c r="K1476" s="10"/>
      <c r="L1476" s="10"/>
      <c r="M1476" s="10"/>
      <c r="N1476" s="10"/>
      <c r="O1476" s="3"/>
      <c r="P1476" s="10"/>
    </row>
    <row r="1477" spans="1:16" x14ac:dyDescent="0.15">
      <c r="A1477" s="10"/>
      <c r="B1477" s="3"/>
      <c r="C1477" s="10"/>
      <c r="D1477" s="10"/>
      <c r="E1477" s="10"/>
      <c r="F1477" s="10"/>
      <c r="G1477" s="10"/>
      <c r="H1477" s="10"/>
      <c r="I1477" s="10"/>
      <c r="J1477" s="10"/>
      <c r="K1477" s="10"/>
      <c r="L1477" s="10"/>
      <c r="M1477" s="10"/>
      <c r="N1477" s="10"/>
      <c r="O1477" s="3"/>
      <c r="P1477" s="10"/>
    </row>
    <row r="1478" spans="1:16" x14ac:dyDescent="0.15">
      <c r="A1478" s="10"/>
      <c r="B1478" s="3"/>
      <c r="C1478" s="10"/>
      <c r="D1478" s="10"/>
      <c r="E1478" s="10"/>
      <c r="F1478" s="10"/>
      <c r="G1478" s="10"/>
      <c r="H1478" s="10"/>
      <c r="I1478" s="10"/>
      <c r="J1478" s="10"/>
      <c r="K1478" s="10"/>
      <c r="L1478" s="10"/>
      <c r="M1478" s="10"/>
      <c r="N1478" s="10"/>
      <c r="O1478" s="3"/>
      <c r="P1478" s="10"/>
    </row>
    <row r="1479" spans="1:16" x14ac:dyDescent="0.15">
      <c r="A1479" s="10"/>
      <c r="B1479" s="3"/>
      <c r="C1479" s="10"/>
      <c r="D1479" s="10"/>
      <c r="E1479" s="10"/>
      <c r="F1479" s="10"/>
      <c r="G1479" s="10"/>
      <c r="H1479" s="10"/>
      <c r="I1479" s="10"/>
      <c r="J1479" s="10"/>
      <c r="K1479" s="10"/>
      <c r="L1479" s="10"/>
      <c r="M1479" s="10"/>
      <c r="N1479" s="10"/>
      <c r="O1479" s="3"/>
      <c r="P1479" s="10"/>
    </row>
    <row r="1480" spans="1:16" x14ac:dyDescent="0.15">
      <c r="A1480" s="10"/>
      <c r="B1480" s="3"/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/>
      <c r="N1480" s="10"/>
      <c r="O1480" s="3"/>
      <c r="P1480" s="10"/>
    </row>
    <row r="1481" spans="1:16" x14ac:dyDescent="0.15">
      <c r="A1481" s="10"/>
      <c r="B1481" s="3"/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/>
      <c r="N1481" s="10"/>
      <c r="O1481" s="3"/>
      <c r="P1481" s="10"/>
    </row>
    <row r="1482" spans="1:16" x14ac:dyDescent="0.15">
      <c r="A1482" s="10"/>
      <c r="B1482" s="3"/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/>
      <c r="N1482" s="10"/>
      <c r="O1482" s="3"/>
      <c r="P1482" s="10"/>
    </row>
    <row r="1483" spans="1:16" x14ac:dyDescent="0.15">
      <c r="A1483" s="10"/>
      <c r="B1483" s="3"/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/>
      <c r="N1483" s="10"/>
      <c r="O1483" s="3"/>
      <c r="P1483" s="10"/>
    </row>
    <row r="1484" spans="1:16" x14ac:dyDescent="0.15">
      <c r="A1484" s="10"/>
      <c r="B1484" s="3"/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/>
      <c r="N1484" s="10"/>
      <c r="O1484" s="3"/>
      <c r="P1484" s="10"/>
    </row>
    <row r="1485" spans="1:16" x14ac:dyDescent="0.15">
      <c r="A1485" s="10"/>
      <c r="B1485" s="3"/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/>
      <c r="N1485" s="10"/>
      <c r="O1485" s="3"/>
      <c r="P1485" s="10"/>
    </row>
    <row r="1486" spans="1:16" x14ac:dyDescent="0.15">
      <c r="A1486" s="10"/>
      <c r="B1486" s="3"/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/>
      <c r="N1486" s="10"/>
      <c r="O1486" s="3"/>
      <c r="P1486" s="10"/>
    </row>
    <row r="1487" spans="1:16" x14ac:dyDescent="0.15">
      <c r="A1487" s="10"/>
      <c r="B1487" s="3"/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/>
      <c r="N1487" s="10"/>
      <c r="O1487" s="3"/>
      <c r="P1487" s="10"/>
    </row>
    <row r="1488" spans="1:16" x14ac:dyDescent="0.15">
      <c r="A1488" s="10"/>
      <c r="B1488" s="3"/>
      <c r="C1488" s="10"/>
      <c r="D1488" s="10"/>
      <c r="E1488" s="10"/>
      <c r="F1488" s="10"/>
      <c r="G1488" s="10"/>
      <c r="H1488" s="10"/>
      <c r="I1488" s="10"/>
      <c r="J1488" s="10"/>
      <c r="K1488" s="10"/>
      <c r="L1488" s="10"/>
      <c r="M1488" s="10"/>
      <c r="N1488" s="10"/>
      <c r="O1488" s="3"/>
      <c r="P1488" s="10"/>
    </row>
    <row r="1489" spans="1:16" x14ac:dyDescent="0.15">
      <c r="A1489" s="10"/>
      <c r="B1489" s="3"/>
      <c r="C1489" s="10"/>
      <c r="D1489" s="10"/>
      <c r="E1489" s="10"/>
      <c r="F1489" s="10"/>
      <c r="G1489" s="10"/>
      <c r="H1489" s="10"/>
      <c r="I1489" s="10"/>
      <c r="J1489" s="10"/>
      <c r="K1489" s="10"/>
      <c r="L1489" s="10"/>
      <c r="M1489" s="10"/>
      <c r="N1489" s="10"/>
      <c r="O1489" s="3"/>
      <c r="P1489" s="10"/>
    </row>
    <row r="1490" spans="1:16" x14ac:dyDescent="0.15">
      <c r="A1490" s="10"/>
      <c r="B1490" s="3"/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/>
      <c r="N1490" s="10"/>
      <c r="O1490" s="3"/>
      <c r="P1490" s="10"/>
    </row>
    <row r="1491" spans="1:16" x14ac:dyDescent="0.15">
      <c r="A1491" s="10"/>
      <c r="B1491" s="3"/>
      <c r="C1491" s="10"/>
      <c r="D1491" s="10"/>
      <c r="E1491" s="10"/>
      <c r="F1491" s="10"/>
      <c r="G1491" s="10"/>
      <c r="H1491" s="10"/>
      <c r="I1491" s="10"/>
      <c r="J1491" s="10"/>
      <c r="K1491" s="10"/>
      <c r="L1491" s="10"/>
      <c r="M1491" s="10"/>
      <c r="N1491" s="10"/>
      <c r="O1491" s="3"/>
      <c r="P1491" s="10"/>
    </row>
    <row r="1492" spans="1:16" x14ac:dyDescent="0.15">
      <c r="A1492" s="10"/>
      <c r="B1492" s="3"/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/>
      <c r="N1492" s="10"/>
      <c r="O1492" s="3"/>
      <c r="P1492" s="10"/>
    </row>
    <row r="1493" spans="1:16" x14ac:dyDescent="0.15">
      <c r="A1493" s="10"/>
      <c r="B1493" s="3"/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/>
      <c r="N1493" s="10"/>
      <c r="O1493" s="3"/>
      <c r="P1493" s="10"/>
    </row>
    <row r="1494" spans="1:16" x14ac:dyDescent="0.15">
      <c r="A1494" s="10"/>
      <c r="B1494" s="3"/>
      <c r="C1494" s="10"/>
      <c r="D1494" s="10"/>
      <c r="E1494" s="10"/>
      <c r="F1494" s="10"/>
      <c r="G1494" s="10"/>
      <c r="H1494" s="10"/>
      <c r="I1494" s="10"/>
      <c r="J1494" s="10"/>
      <c r="K1494" s="10"/>
      <c r="L1494" s="10"/>
      <c r="M1494" s="10"/>
      <c r="N1494" s="10"/>
      <c r="O1494" s="3"/>
      <c r="P1494" s="10"/>
    </row>
    <row r="1495" spans="1:16" x14ac:dyDescent="0.15">
      <c r="A1495" s="10"/>
      <c r="B1495" s="3"/>
      <c r="C1495" s="10"/>
      <c r="D1495" s="10"/>
      <c r="E1495" s="10"/>
      <c r="F1495" s="10"/>
      <c r="G1495" s="10"/>
      <c r="H1495" s="10"/>
      <c r="I1495" s="10"/>
      <c r="J1495" s="10"/>
      <c r="K1495" s="10"/>
      <c r="L1495" s="10"/>
      <c r="M1495" s="10"/>
      <c r="N1495" s="10"/>
      <c r="O1495" s="3"/>
      <c r="P1495" s="10"/>
    </row>
    <row r="1496" spans="1:16" x14ac:dyDescent="0.15">
      <c r="A1496" s="10"/>
      <c r="B1496" s="3"/>
      <c r="C1496" s="10"/>
      <c r="D1496" s="10"/>
      <c r="E1496" s="10"/>
      <c r="F1496" s="10"/>
      <c r="G1496" s="10"/>
      <c r="H1496" s="10"/>
      <c r="I1496" s="10"/>
      <c r="J1496" s="10"/>
      <c r="K1496" s="10"/>
      <c r="L1496" s="10"/>
      <c r="M1496" s="10"/>
      <c r="N1496" s="10"/>
      <c r="O1496" s="3"/>
      <c r="P1496" s="10"/>
    </row>
    <row r="1497" spans="1:16" x14ac:dyDescent="0.15">
      <c r="A1497" s="10"/>
      <c r="B1497" s="3"/>
      <c r="C1497" s="10"/>
      <c r="D1497" s="10"/>
      <c r="E1497" s="10"/>
      <c r="F1497" s="10"/>
      <c r="G1497" s="10"/>
      <c r="H1497" s="10"/>
      <c r="I1497" s="10"/>
      <c r="J1497" s="10"/>
      <c r="K1497" s="10"/>
      <c r="L1497" s="10"/>
      <c r="M1497" s="10"/>
      <c r="N1497" s="10"/>
      <c r="O1497" s="3"/>
      <c r="P1497" s="10"/>
    </row>
    <row r="1498" spans="1:16" x14ac:dyDescent="0.15">
      <c r="A1498" s="10"/>
      <c r="B1498" s="3"/>
      <c r="C1498" s="10"/>
      <c r="D1498" s="10"/>
      <c r="E1498" s="10"/>
      <c r="F1498" s="10"/>
      <c r="G1498" s="10"/>
      <c r="H1498" s="10"/>
      <c r="I1498" s="10"/>
      <c r="J1498" s="10"/>
      <c r="K1498" s="10"/>
      <c r="L1498" s="10"/>
      <c r="M1498" s="10"/>
      <c r="N1498" s="10"/>
      <c r="O1498" s="3"/>
      <c r="P1498" s="10"/>
    </row>
    <row r="1499" spans="1:16" x14ac:dyDescent="0.15">
      <c r="A1499" s="10"/>
      <c r="B1499" s="3"/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/>
      <c r="N1499" s="10"/>
      <c r="O1499" s="3"/>
      <c r="P1499" s="10"/>
    </row>
    <row r="1500" spans="1:16" x14ac:dyDescent="0.15">
      <c r="A1500" s="10"/>
      <c r="B1500" s="3"/>
      <c r="C1500" s="10"/>
      <c r="D1500" s="10"/>
      <c r="E1500" s="10"/>
      <c r="F1500" s="10"/>
      <c r="G1500" s="10"/>
      <c r="H1500" s="10"/>
      <c r="I1500" s="10"/>
      <c r="J1500" s="10"/>
      <c r="K1500" s="10"/>
      <c r="L1500" s="10"/>
      <c r="M1500" s="10"/>
      <c r="N1500" s="10"/>
      <c r="O1500" s="3"/>
      <c r="P1500" s="10"/>
    </row>
    <row r="1501" spans="1:16" x14ac:dyDescent="0.15">
      <c r="A1501" s="10"/>
      <c r="B1501" s="3"/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/>
      <c r="N1501" s="10"/>
      <c r="O1501" s="3"/>
      <c r="P1501" s="10"/>
    </row>
    <row r="1502" spans="1:16" x14ac:dyDescent="0.15">
      <c r="A1502" s="10"/>
      <c r="B1502" s="3"/>
      <c r="C1502" s="10"/>
      <c r="D1502" s="10"/>
      <c r="E1502" s="10"/>
      <c r="F1502" s="10"/>
      <c r="G1502" s="10"/>
      <c r="H1502" s="10"/>
      <c r="I1502" s="10"/>
      <c r="J1502" s="10"/>
      <c r="K1502" s="10"/>
      <c r="L1502" s="10"/>
      <c r="M1502" s="10"/>
      <c r="N1502" s="10"/>
      <c r="O1502" s="3"/>
      <c r="P1502" s="10"/>
    </row>
    <row r="1503" spans="1:16" x14ac:dyDescent="0.15">
      <c r="A1503" s="10"/>
      <c r="B1503" s="3"/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/>
      <c r="N1503" s="10"/>
      <c r="O1503" s="3"/>
      <c r="P1503" s="10"/>
    </row>
    <row r="1504" spans="1:16" x14ac:dyDescent="0.15">
      <c r="A1504" s="10"/>
      <c r="B1504" s="3"/>
      <c r="C1504" s="10"/>
      <c r="D1504" s="10"/>
      <c r="E1504" s="10"/>
      <c r="F1504" s="10"/>
      <c r="G1504" s="10"/>
      <c r="H1504" s="10"/>
      <c r="I1504" s="10"/>
      <c r="J1504" s="10"/>
      <c r="K1504" s="10"/>
      <c r="L1504" s="10"/>
      <c r="M1504" s="10"/>
      <c r="N1504" s="10"/>
      <c r="O1504" s="3"/>
      <c r="P1504" s="10"/>
    </row>
    <row r="1505" spans="1:16" x14ac:dyDescent="0.15">
      <c r="A1505" s="10"/>
      <c r="B1505" s="3"/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/>
      <c r="N1505" s="10"/>
      <c r="O1505" s="3"/>
      <c r="P1505" s="10"/>
    </row>
    <row r="1506" spans="1:16" x14ac:dyDescent="0.15">
      <c r="A1506" s="10"/>
      <c r="B1506" s="3"/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/>
      <c r="N1506" s="10"/>
      <c r="O1506" s="3"/>
      <c r="P1506" s="10"/>
    </row>
    <row r="1507" spans="1:16" x14ac:dyDescent="0.15">
      <c r="A1507" s="10"/>
      <c r="B1507" s="3"/>
      <c r="C1507" s="10"/>
      <c r="D1507" s="10"/>
      <c r="E1507" s="10"/>
      <c r="F1507" s="10"/>
      <c r="G1507" s="10"/>
      <c r="H1507" s="10"/>
      <c r="I1507" s="10"/>
      <c r="J1507" s="10"/>
      <c r="K1507" s="10"/>
      <c r="L1507" s="10"/>
      <c r="M1507" s="10"/>
      <c r="N1507" s="10"/>
      <c r="O1507" s="3"/>
      <c r="P1507" s="10"/>
    </row>
    <row r="1508" spans="1:16" x14ac:dyDescent="0.15">
      <c r="A1508" s="10"/>
      <c r="B1508" s="3"/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/>
      <c r="N1508" s="10"/>
      <c r="O1508" s="3"/>
      <c r="P1508" s="10"/>
    </row>
    <row r="1509" spans="1:16" x14ac:dyDescent="0.15">
      <c r="A1509" s="10"/>
      <c r="B1509" s="3"/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/>
      <c r="N1509" s="10"/>
      <c r="O1509" s="3"/>
      <c r="P1509" s="10"/>
    </row>
    <row r="1510" spans="1:16" x14ac:dyDescent="0.15">
      <c r="A1510" s="10"/>
      <c r="B1510" s="3"/>
      <c r="C1510" s="10"/>
      <c r="D1510" s="10"/>
      <c r="E1510" s="10"/>
      <c r="F1510" s="10"/>
      <c r="G1510" s="10"/>
      <c r="H1510" s="10"/>
      <c r="I1510" s="10"/>
      <c r="J1510" s="10"/>
      <c r="K1510" s="10"/>
      <c r="L1510" s="10"/>
      <c r="M1510" s="10"/>
      <c r="N1510" s="10"/>
      <c r="O1510" s="3"/>
      <c r="P1510" s="10"/>
    </row>
    <row r="1511" spans="1:16" x14ac:dyDescent="0.15">
      <c r="A1511" s="10"/>
      <c r="B1511" s="3"/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/>
      <c r="N1511" s="10"/>
      <c r="O1511" s="3"/>
      <c r="P1511" s="10"/>
    </row>
    <row r="1512" spans="1:16" x14ac:dyDescent="0.15">
      <c r="A1512" s="10"/>
      <c r="B1512" s="3"/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/>
      <c r="N1512" s="10"/>
      <c r="O1512" s="3"/>
      <c r="P1512" s="10"/>
    </row>
    <row r="1513" spans="1:16" x14ac:dyDescent="0.15">
      <c r="A1513" s="10"/>
      <c r="B1513" s="3"/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/>
      <c r="N1513" s="10"/>
      <c r="O1513" s="3"/>
      <c r="P1513" s="10"/>
    </row>
    <row r="1514" spans="1:16" x14ac:dyDescent="0.15">
      <c r="A1514" s="10"/>
      <c r="B1514" s="3"/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/>
      <c r="N1514" s="10"/>
      <c r="O1514" s="3"/>
      <c r="P1514" s="10"/>
    </row>
    <row r="1515" spans="1:16" x14ac:dyDescent="0.15">
      <c r="A1515" s="10"/>
      <c r="B1515" s="3"/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/>
      <c r="N1515" s="10"/>
      <c r="O1515" s="3"/>
      <c r="P1515" s="10"/>
    </row>
    <row r="1516" spans="1:16" x14ac:dyDescent="0.15">
      <c r="A1516" s="10"/>
      <c r="B1516" s="3"/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/>
      <c r="N1516" s="10"/>
      <c r="O1516" s="3"/>
      <c r="P1516" s="10"/>
    </row>
    <row r="1517" spans="1:16" x14ac:dyDescent="0.15">
      <c r="A1517" s="10"/>
      <c r="B1517" s="3"/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/>
      <c r="N1517" s="10"/>
      <c r="O1517" s="3"/>
      <c r="P1517" s="10"/>
    </row>
    <row r="1518" spans="1:16" x14ac:dyDescent="0.15">
      <c r="A1518" s="10"/>
      <c r="B1518" s="3"/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/>
      <c r="N1518" s="10"/>
      <c r="O1518" s="3"/>
      <c r="P1518" s="10"/>
    </row>
    <row r="1519" spans="1:16" x14ac:dyDescent="0.15">
      <c r="A1519" s="10"/>
      <c r="B1519" s="3"/>
      <c r="C1519" s="10"/>
      <c r="D1519" s="10"/>
      <c r="E1519" s="10"/>
      <c r="F1519" s="10"/>
      <c r="G1519" s="10"/>
      <c r="H1519" s="10"/>
      <c r="I1519" s="10"/>
      <c r="J1519" s="10"/>
      <c r="K1519" s="10"/>
      <c r="L1519" s="10"/>
      <c r="M1519" s="10"/>
      <c r="N1519" s="10"/>
      <c r="O1519" s="3"/>
      <c r="P1519" s="10"/>
    </row>
    <row r="1520" spans="1:16" x14ac:dyDescent="0.15">
      <c r="A1520" s="10"/>
      <c r="B1520" s="3"/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/>
      <c r="N1520" s="10"/>
      <c r="O1520" s="3"/>
      <c r="P1520" s="10"/>
    </row>
    <row r="1521" spans="1:16" x14ac:dyDescent="0.15">
      <c r="A1521" s="10"/>
      <c r="B1521" s="3"/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/>
      <c r="N1521" s="10"/>
      <c r="O1521" s="3"/>
      <c r="P1521" s="10"/>
    </row>
    <row r="1522" spans="1:16" x14ac:dyDescent="0.15">
      <c r="A1522" s="10"/>
      <c r="B1522" s="3"/>
      <c r="C1522" s="10"/>
      <c r="D1522" s="10"/>
      <c r="E1522" s="10"/>
      <c r="F1522" s="10"/>
      <c r="G1522" s="10"/>
      <c r="H1522" s="10"/>
      <c r="I1522" s="10"/>
      <c r="J1522" s="10"/>
      <c r="K1522" s="10"/>
      <c r="L1522" s="10"/>
      <c r="M1522" s="10"/>
      <c r="N1522" s="10"/>
      <c r="O1522" s="3"/>
      <c r="P1522" s="10"/>
    </row>
    <row r="1523" spans="1:16" x14ac:dyDescent="0.15">
      <c r="A1523" s="10"/>
      <c r="B1523" s="3"/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/>
      <c r="N1523" s="10"/>
      <c r="O1523" s="3"/>
      <c r="P1523" s="10"/>
    </row>
    <row r="1524" spans="1:16" x14ac:dyDescent="0.15">
      <c r="A1524" s="10"/>
      <c r="B1524" s="3"/>
      <c r="C1524" s="10"/>
      <c r="D1524" s="10"/>
      <c r="E1524" s="10"/>
      <c r="F1524" s="10"/>
      <c r="G1524" s="10"/>
      <c r="H1524" s="10"/>
      <c r="I1524" s="10"/>
      <c r="J1524" s="10"/>
      <c r="K1524" s="10"/>
      <c r="L1524" s="10"/>
      <c r="M1524" s="10"/>
      <c r="N1524" s="10"/>
      <c r="O1524" s="3"/>
      <c r="P1524" s="10"/>
    </row>
    <row r="1525" spans="1:16" x14ac:dyDescent="0.15">
      <c r="A1525" s="10"/>
      <c r="B1525" s="3"/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/>
      <c r="N1525" s="10"/>
      <c r="O1525" s="3"/>
      <c r="P1525" s="10"/>
    </row>
    <row r="1526" spans="1:16" x14ac:dyDescent="0.15">
      <c r="A1526" s="10"/>
      <c r="B1526" s="3"/>
      <c r="C1526" s="10"/>
      <c r="D1526" s="10"/>
      <c r="E1526" s="10"/>
      <c r="F1526" s="10"/>
      <c r="G1526" s="10"/>
      <c r="H1526" s="10"/>
      <c r="I1526" s="10"/>
      <c r="J1526" s="10"/>
      <c r="K1526" s="10"/>
      <c r="L1526" s="10"/>
      <c r="M1526" s="10"/>
      <c r="N1526" s="10"/>
      <c r="O1526" s="3"/>
      <c r="P1526" s="10"/>
    </row>
    <row r="1527" spans="1:16" x14ac:dyDescent="0.15">
      <c r="A1527" s="10"/>
      <c r="B1527" s="3"/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/>
      <c r="N1527" s="10"/>
      <c r="O1527" s="3"/>
      <c r="P1527" s="10"/>
    </row>
    <row r="1528" spans="1:16" x14ac:dyDescent="0.15">
      <c r="A1528" s="10"/>
      <c r="B1528" s="3"/>
      <c r="C1528" s="10"/>
      <c r="D1528" s="10"/>
      <c r="E1528" s="10"/>
      <c r="F1528" s="10"/>
      <c r="G1528" s="10"/>
      <c r="H1528" s="10"/>
      <c r="I1528" s="10"/>
      <c r="J1528" s="10"/>
      <c r="K1528" s="10"/>
      <c r="L1528" s="10"/>
      <c r="M1528" s="10"/>
      <c r="N1528" s="10"/>
      <c r="O1528" s="3"/>
      <c r="P1528" s="10"/>
    </row>
    <row r="1529" spans="1:16" x14ac:dyDescent="0.15">
      <c r="A1529" s="10"/>
      <c r="B1529" s="3"/>
      <c r="C1529" s="10"/>
      <c r="D1529" s="10"/>
      <c r="E1529" s="10"/>
      <c r="F1529" s="10"/>
      <c r="G1529" s="10"/>
      <c r="H1529" s="10"/>
      <c r="I1529" s="10"/>
      <c r="J1529" s="10"/>
      <c r="K1529" s="10"/>
      <c r="L1529" s="10"/>
      <c r="M1529" s="10"/>
      <c r="N1529" s="10"/>
      <c r="O1529" s="3"/>
      <c r="P1529" s="10"/>
    </row>
    <row r="1530" spans="1:16" x14ac:dyDescent="0.15">
      <c r="A1530" s="10"/>
      <c r="B1530" s="3"/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/>
      <c r="N1530" s="10"/>
      <c r="O1530" s="3"/>
      <c r="P1530" s="10"/>
    </row>
    <row r="1531" spans="1:16" x14ac:dyDescent="0.15">
      <c r="A1531" s="10"/>
      <c r="B1531" s="3"/>
      <c r="C1531" s="10"/>
      <c r="D1531" s="10"/>
      <c r="E1531" s="10"/>
      <c r="F1531" s="10"/>
      <c r="G1531" s="10"/>
      <c r="H1531" s="10"/>
      <c r="I1531" s="10"/>
      <c r="J1531" s="10"/>
      <c r="K1531" s="10"/>
      <c r="L1531" s="10"/>
      <c r="M1531" s="10"/>
      <c r="N1531" s="10"/>
      <c r="O1531" s="3"/>
      <c r="P1531" s="10"/>
    </row>
    <row r="1532" spans="1:16" x14ac:dyDescent="0.15">
      <c r="A1532" s="10"/>
      <c r="B1532" s="3"/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/>
      <c r="N1532" s="10"/>
      <c r="O1532" s="3"/>
      <c r="P1532" s="10"/>
    </row>
    <row r="1533" spans="1:16" x14ac:dyDescent="0.15">
      <c r="A1533" s="10"/>
      <c r="B1533" s="3"/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/>
      <c r="N1533" s="10"/>
      <c r="O1533" s="3"/>
      <c r="P1533" s="10"/>
    </row>
    <row r="1534" spans="1:16" x14ac:dyDescent="0.15">
      <c r="A1534" s="10"/>
      <c r="B1534" s="3"/>
      <c r="C1534" s="10"/>
      <c r="D1534" s="10"/>
      <c r="E1534" s="10"/>
      <c r="F1534" s="10"/>
      <c r="G1534" s="10"/>
      <c r="H1534" s="10"/>
      <c r="I1534" s="10"/>
      <c r="J1534" s="10"/>
      <c r="K1534" s="10"/>
      <c r="L1534" s="10"/>
      <c r="M1534" s="10"/>
      <c r="N1534" s="10"/>
      <c r="O1534" s="3"/>
      <c r="P1534" s="10"/>
    </row>
    <row r="1535" spans="1:16" x14ac:dyDescent="0.15">
      <c r="A1535" s="10"/>
      <c r="B1535" s="3"/>
      <c r="C1535" s="10"/>
      <c r="D1535" s="10"/>
      <c r="E1535" s="10"/>
      <c r="F1535" s="10"/>
      <c r="G1535" s="10"/>
      <c r="H1535" s="10"/>
      <c r="I1535" s="10"/>
      <c r="J1535" s="10"/>
      <c r="K1535" s="10"/>
      <c r="L1535" s="10"/>
      <c r="M1535" s="10"/>
      <c r="N1535" s="10"/>
      <c r="O1535" s="3"/>
      <c r="P1535" s="10"/>
    </row>
    <row r="1536" spans="1:16" x14ac:dyDescent="0.15">
      <c r="A1536" s="10"/>
      <c r="B1536" s="3"/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/>
      <c r="N1536" s="10"/>
      <c r="O1536" s="3"/>
      <c r="P1536" s="10"/>
    </row>
    <row r="1537" spans="1:16" x14ac:dyDescent="0.15">
      <c r="A1537" s="10"/>
      <c r="B1537" s="3"/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/>
      <c r="N1537" s="10"/>
      <c r="O1537" s="3"/>
      <c r="P1537" s="10"/>
    </row>
    <row r="1538" spans="1:16" x14ac:dyDescent="0.15">
      <c r="A1538" s="10"/>
      <c r="B1538" s="3"/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/>
      <c r="N1538" s="10"/>
      <c r="O1538" s="3"/>
      <c r="P1538" s="10"/>
    </row>
    <row r="1539" spans="1:16" x14ac:dyDescent="0.15">
      <c r="A1539" s="10"/>
      <c r="B1539" s="3"/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/>
      <c r="N1539" s="10"/>
      <c r="O1539" s="3"/>
      <c r="P1539" s="10"/>
    </row>
    <row r="1540" spans="1:16" x14ac:dyDescent="0.15">
      <c r="A1540" s="10"/>
      <c r="B1540" s="3"/>
      <c r="C1540" s="10"/>
      <c r="D1540" s="10"/>
      <c r="E1540" s="10"/>
      <c r="F1540" s="10"/>
      <c r="G1540" s="10"/>
      <c r="H1540" s="10"/>
      <c r="I1540" s="10"/>
      <c r="J1540" s="10"/>
      <c r="K1540" s="10"/>
      <c r="L1540" s="10"/>
      <c r="M1540" s="10"/>
      <c r="N1540" s="10"/>
      <c r="O1540" s="3"/>
      <c r="P1540" s="10"/>
    </row>
    <row r="1541" spans="1:16" x14ac:dyDescent="0.15">
      <c r="A1541" s="10"/>
      <c r="B1541" s="3"/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/>
      <c r="N1541" s="10"/>
      <c r="O1541" s="3"/>
      <c r="P1541" s="10"/>
    </row>
    <row r="1542" spans="1:16" x14ac:dyDescent="0.15">
      <c r="A1542" s="10"/>
      <c r="B1542" s="3"/>
      <c r="C1542" s="10"/>
      <c r="D1542" s="10"/>
      <c r="E1542" s="10"/>
      <c r="F1542" s="10"/>
      <c r="G1542" s="10"/>
      <c r="H1542" s="10"/>
      <c r="I1542" s="10"/>
      <c r="J1542" s="10"/>
      <c r="K1542" s="10"/>
      <c r="L1542" s="10"/>
      <c r="M1542" s="10"/>
      <c r="N1542" s="10"/>
      <c r="O1542" s="3"/>
      <c r="P1542" s="10"/>
    </row>
    <row r="1543" spans="1:16" x14ac:dyDescent="0.15">
      <c r="A1543" s="10"/>
      <c r="B1543" s="3"/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/>
      <c r="N1543" s="10"/>
      <c r="O1543" s="3"/>
      <c r="P1543" s="10"/>
    </row>
    <row r="1544" spans="1:16" x14ac:dyDescent="0.15">
      <c r="A1544" s="10"/>
      <c r="B1544" s="3"/>
      <c r="C1544" s="10"/>
      <c r="D1544" s="10"/>
      <c r="E1544" s="10"/>
      <c r="F1544" s="10"/>
      <c r="G1544" s="10"/>
      <c r="H1544" s="10"/>
      <c r="I1544" s="10"/>
      <c r="J1544" s="10"/>
      <c r="K1544" s="10"/>
      <c r="L1544" s="10"/>
      <c r="M1544" s="10"/>
      <c r="N1544" s="10"/>
      <c r="O1544" s="3"/>
      <c r="P1544" s="10"/>
    </row>
    <row r="1545" spans="1:16" x14ac:dyDescent="0.15">
      <c r="A1545" s="10"/>
      <c r="B1545" s="3"/>
      <c r="C1545" s="10"/>
      <c r="D1545" s="10"/>
      <c r="E1545" s="10"/>
      <c r="F1545" s="10"/>
      <c r="G1545" s="10"/>
      <c r="H1545" s="10"/>
      <c r="I1545" s="10"/>
      <c r="J1545" s="10"/>
      <c r="K1545" s="10"/>
      <c r="L1545" s="10"/>
      <c r="M1545" s="10"/>
      <c r="N1545" s="10"/>
      <c r="O1545" s="3"/>
      <c r="P1545" s="10"/>
    </row>
    <row r="1546" spans="1:16" x14ac:dyDescent="0.15">
      <c r="A1546" s="10"/>
      <c r="B1546" s="3"/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/>
      <c r="N1546" s="10"/>
      <c r="O1546" s="3"/>
      <c r="P1546" s="10"/>
    </row>
    <row r="1547" spans="1:16" x14ac:dyDescent="0.15">
      <c r="A1547" s="10"/>
      <c r="B1547" s="3"/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/>
      <c r="N1547" s="10"/>
      <c r="O1547" s="3"/>
      <c r="P1547" s="10"/>
    </row>
    <row r="1548" spans="1:16" x14ac:dyDescent="0.15">
      <c r="A1548" s="10"/>
      <c r="B1548" s="3"/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/>
      <c r="N1548" s="10"/>
      <c r="O1548" s="3"/>
      <c r="P1548" s="10"/>
    </row>
    <row r="1549" spans="1:16" x14ac:dyDescent="0.15">
      <c r="A1549" s="10"/>
      <c r="B1549" s="3"/>
      <c r="C1549" s="10"/>
      <c r="D1549" s="10"/>
      <c r="E1549" s="10"/>
      <c r="F1549" s="10"/>
      <c r="G1549" s="10"/>
      <c r="H1549" s="10"/>
      <c r="I1549" s="10"/>
      <c r="J1549" s="10"/>
      <c r="K1549" s="10"/>
      <c r="L1549" s="10"/>
      <c r="M1549" s="10"/>
      <c r="N1549" s="10"/>
      <c r="O1549" s="3"/>
      <c r="P1549" s="10"/>
    </row>
    <row r="1550" spans="1:16" x14ac:dyDescent="0.15">
      <c r="A1550" s="10"/>
      <c r="B1550" s="3"/>
      <c r="C1550" s="10"/>
      <c r="D1550" s="10"/>
      <c r="E1550" s="10"/>
      <c r="F1550" s="10"/>
      <c r="G1550" s="10"/>
      <c r="H1550" s="10"/>
      <c r="I1550" s="10"/>
      <c r="J1550" s="10"/>
      <c r="K1550" s="10"/>
      <c r="L1550" s="10"/>
      <c r="M1550" s="10"/>
      <c r="N1550" s="10"/>
      <c r="O1550" s="3"/>
      <c r="P1550" s="10"/>
    </row>
    <row r="1551" spans="1:16" x14ac:dyDescent="0.15">
      <c r="A1551" s="10"/>
      <c r="B1551" s="3"/>
      <c r="C1551" s="10"/>
      <c r="D1551" s="10"/>
      <c r="E1551" s="10"/>
      <c r="F1551" s="10"/>
      <c r="G1551" s="10"/>
      <c r="H1551" s="10"/>
      <c r="I1551" s="10"/>
      <c r="J1551" s="10"/>
      <c r="K1551" s="10"/>
      <c r="L1551" s="10"/>
      <c r="M1551" s="10"/>
      <c r="N1551" s="10"/>
      <c r="O1551" s="3"/>
      <c r="P1551" s="10"/>
    </row>
    <row r="1552" spans="1:16" x14ac:dyDescent="0.15">
      <c r="A1552" s="10"/>
      <c r="B1552" s="3"/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/>
      <c r="N1552" s="10"/>
      <c r="O1552" s="3"/>
      <c r="P1552" s="10"/>
    </row>
    <row r="1553" spans="1:16" x14ac:dyDescent="0.15">
      <c r="A1553" s="10"/>
      <c r="B1553" s="3"/>
      <c r="C1553" s="10"/>
      <c r="D1553" s="10"/>
      <c r="E1553" s="10"/>
      <c r="F1553" s="10"/>
      <c r="G1553" s="10"/>
      <c r="H1553" s="10"/>
      <c r="I1553" s="10"/>
      <c r="J1553" s="10"/>
      <c r="K1553" s="10"/>
      <c r="L1553" s="10"/>
      <c r="M1553" s="10"/>
      <c r="N1553" s="10"/>
      <c r="O1553" s="3"/>
      <c r="P1553" s="10"/>
    </row>
    <row r="1554" spans="1:16" x14ac:dyDescent="0.15">
      <c r="A1554" s="10"/>
      <c r="B1554" s="3"/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/>
      <c r="N1554" s="10"/>
      <c r="O1554" s="3"/>
      <c r="P1554" s="10"/>
    </row>
    <row r="1555" spans="1:16" x14ac:dyDescent="0.15">
      <c r="A1555" s="10"/>
      <c r="B1555" s="3"/>
      <c r="C1555" s="10"/>
      <c r="D1555" s="10"/>
      <c r="E1555" s="10"/>
      <c r="F1555" s="10"/>
      <c r="G1555" s="10"/>
      <c r="H1555" s="10"/>
      <c r="I1555" s="10"/>
      <c r="J1555" s="10"/>
      <c r="K1555" s="10"/>
      <c r="L1555" s="10"/>
      <c r="M1555" s="10"/>
      <c r="N1555" s="10"/>
      <c r="O1555" s="3"/>
      <c r="P1555" s="10"/>
    </row>
    <row r="1556" spans="1:16" x14ac:dyDescent="0.15">
      <c r="A1556" s="10"/>
      <c r="B1556" s="3"/>
      <c r="C1556" s="10"/>
      <c r="D1556" s="10"/>
      <c r="E1556" s="10"/>
      <c r="F1556" s="10"/>
      <c r="G1556" s="10"/>
      <c r="H1556" s="10"/>
      <c r="I1556" s="10"/>
      <c r="J1556" s="10"/>
      <c r="K1556" s="10"/>
      <c r="L1556" s="10"/>
      <c r="M1556" s="10"/>
      <c r="N1556" s="10"/>
      <c r="O1556" s="3"/>
      <c r="P1556" s="10"/>
    </row>
    <row r="1557" spans="1:16" x14ac:dyDescent="0.15">
      <c r="A1557" s="10"/>
      <c r="B1557" s="3"/>
      <c r="C1557" s="10"/>
      <c r="D1557" s="10"/>
      <c r="E1557" s="10"/>
      <c r="F1557" s="10"/>
      <c r="G1557" s="10"/>
      <c r="H1557" s="10"/>
      <c r="I1557" s="10"/>
      <c r="J1557" s="10"/>
      <c r="K1557" s="10"/>
      <c r="L1557" s="10"/>
      <c r="M1557" s="10"/>
      <c r="N1557" s="10"/>
      <c r="O1557" s="3"/>
      <c r="P1557" s="10"/>
    </row>
    <row r="1558" spans="1:16" x14ac:dyDescent="0.15">
      <c r="A1558" s="10"/>
      <c r="B1558" s="3"/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/>
      <c r="N1558" s="10"/>
      <c r="O1558" s="3"/>
      <c r="P1558" s="10"/>
    </row>
    <row r="1559" spans="1:16" x14ac:dyDescent="0.15">
      <c r="A1559" s="10"/>
      <c r="B1559" s="3"/>
      <c r="C1559" s="10"/>
      <c r="D1559" s="10"/>
      <c r="E1559" s="10"/>
      <c r="F1559" s="10"/>
      <c r="G1559" s="10"/>
      <c r="H1559" s="10"/>
      <c r="I1559" s="10"/>
      <c r="J1559" s="10"/>
      <c r="K1559" s="10"/>
      <c r="L1559" s="10"/>
      <c r="M1559" s="10"/>
      <c r="N1559" s="10"/>
      <c r="O1559" s="3"/>
      <c r="P1559" s="10"/>
    </row>
    <row r="1560" spans="1:16" x14ac:dyDescent="0.15">
      <c r="A1560" s="10"/>
      <c r="B1560" s="3"/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/>
      <c r="N1560" s="10"/>
      <c r="O1560" s="3"/>
      <c r="P1560" s="10"/>
    </row>
    <row r="1561" spans="1:16" x14ac:dyDescent="0.15">
      <c r="A1561" s="10"/>
      <c r="B1561" s="3"/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/>
      <c r="N1561" s="10"/>
      <c r="O1561" s="3"/>
      <c r="P1561" s="10"/>
    </row>
    <row r="1562" spans="1:16" x14ac:dyDescent="0.15">
      <c r="A1562" s="10"/>
      <c r="B1562" s="3"/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/>
      <c r="N1562" s="10"/>
      <c r="O1562" s="3"/>
      <c r="P1562" s="10"/>
    </row>
    <row r="1563" spans="1:16" x14ac:dyDescent="0.15">
      <c r="A1563" s="10"/>
      <c r="B1563" s="3"/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/>
      <c r="N1563" s="10"/>
      <c r="O1563" s="3"/>
      <c r="P1563" s="10"/>
    </row>
    <row r="1564" spans="1:16" x14ac:dyDescent="0.15">
      <c r="A1564" s="10"/>
      <c r="B1564" s="3"/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/>
      <c r="N1564" s="10"/>
      <c r="O1564" s="3"/>
      <c r="P1564" s="10"/>
    </row>
    <row r="1565" spans="1:16" x14ac:dyDescent="0.15">
      <c r="A1565" s="10"/>
      <c r="B1565" s="3"/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/>
      <c r="N1565" s="10"/>
      <c r="O1565" s="3"/>
      <c r="P1565" s="10"/>
    </row>
    <row r="1566" spans="1:16" x14ac:dyDescent="0.15">
      <c r="A1566" s="10"/>
      <c r="B1566" s="3"/>
      <c r="C1566" s="10"/>
      <c r="D1566" s="10"/>
      <c r="E1566" s="10"/>
      <c r="F1566" s="10"/>
      <c r="G1566" s="10"/>
      <c r="H1566" s="10"/>
      <c r="I1566" s="10"/>
      <c r="J1566" s="10"/>
      <c r="K1566" s="10"/>
      <c r="L1566" s="10"/>
      <c r="M1566" s="10"/>
      <c r="N1566" s="10"/>
      <c r="O1566" s="3"/>
      <c r="P1566" s="10"/>
    </row>
    <row r="1567" spans="1:16" x14ac:dyDescent="0.15">
      <c r="A1567" s="10"/>
      <c r="B1567" s="3"/>
      <c r="C1567" s="10"/>
      <c r="D1567" s="10"/>
      <c r="E1567" s="10"/>
      <c r="F1567" s="10"/>
      <c r="G1567" s="10"/>
      <c r="H1567" s="10"/>
      <c r="I1567" s="10"/>
      <c r="J1567" s="10"/>
      <c r="K1567" s="10"/>
      <c r="L1567" s="10"/>
      <c r="M1567" s="10"/>
      <c r="N1567" s="10"/>
      <c r="O1567" s="3"/>
      <c r="P1567" s="10"/>
    </row>
    <row r="1568" spans="1:16" x14ac:dyDescent="0.15">
      <c r="A1568" s="10"/>
      <c r="B1568" s="3"/>
      <c r="C1568" s="10"/>
      <c r="D1568" s="10"/>
      <c r="E1568" s="10"/>
      <c r="F1568" s="10"/>
      <c r="G1568" s="10"/>
      <c r="H1568" s="10"/>
      <c r="I1568" s="10"/>
      <c r="J1568" s="10"/>
      <c r="K1568" s="10"/>
      <c r="L1568" s="10"/>
      <c r="M1568" s="10"/>
      <c r="N1568" s="10"/>
      <c r="O1568" s="3"/>
      <c r="P1568" s="10"/>
    </row>
    <row r="1569" spans="1:16" x14ac:dyDescent="0.15">
      <c r="A1569" s="10"/>
      <c r="B1569" s="3"/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/>
      <c r="N1569" s="10"/>
      <c r="O1569" s="3"/>
      <c r="P1569" s="10"/>
    </row>
    <row r="1570" spans="1:16" x14ac:dyDescent="0.15">
      <c r="A1570" s="10"/>
      <c r="B1570" s="3"/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/>
      <c r="N1570" s="10"/>
      <c r="O1570" s="3"/>
      <c r="P1570" s="10"/>
    </row>
    <row r="1571" spans="1:16" x14ac:dyDescent="0.15">
      <c r="A1571" s="10"/>
      <c r="B1571" s="3"/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/>
      <c r="N1571" s="10"/>
      <c r="O1571" s="3"/>
      <c r="P1571" s="10"/>
    </row>
    <row r="1572" spans="1:16" x14ac:dyDescent="0.15">
      <c r="A1572" s="10"/>
      <c r="B1572" s="3"/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/>
      <c r="N1572" s="10"/>
      <c r="O1572" s="3"/>
      <c r="P1572" s="10"/>
    </row>
    <row r="1573" spans="1:16" x14ac:dyDescent="0.15">
      <c r="A1573" s="10"/>
      <c r="B1573" s="3"/>
      <c r="C1573" s="10"/>
      <c r="D1573" s="10"/>
      <c r="E1573" s="10"/>
      <c r="F1573" s="10"/>
      <c r="G1573" s="10"/>
      <c r="H1573" s="10"/>
      <c r="I1573" s="10"/>
      <c r="J1573" s="10"/>
      <c r="K1573" s="10"/>
      <c r="L1573" s="10"/>
      <c r="M1573" s="10"/>
      <c r="N1573" s="10"/>
      <c r="O1573" s="3"/>
      <c r="P1573" s="10"/>
    </row>
    <row r="1574" spans="1:16" x14ac:dyDescent="0.15">
      <c r="A1574" s="10"/>
      <c r="B1574" s="3"/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/>
      <c r="N1574" s="10"/>
      <c r="O1574" s="3"/>
      <c r="P1574" s="10"/>
    </row>
    <row r="1575" spans="1:16" x14ac:dyDescent="0.15">
      <c r="A1575" s="10"/>
      <c r="B1575" s="3"/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/>
      <c r="N1575" s="10"/>
      <c r="O1575" s="3"/>
      <c r="P1575" s="10"/>
    </row>
    <row r="1576" spans="1:16" x14ac:dyDescent="0.15">
      <c r="A1576" s="10"/>
      <c r="B1576" s="3"/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/>
      <c r="N1576" s="10"/>
      <c r="O1576" s="3"/>
      <c r="P1576" s="10"/>
    </row>
    <row r="1577" spans="1:16" x14ac:dyDescent="0.15">
      <c r="A1577" s="10"/>
      <c r="B1577" s="3"/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/>
      <c r="N1577" s="10"/>
      <c r="O1577" s="3"/>
      <c r="P1577" s="10"/>
    </row>
    <row r="1578" spans="1:16" x14ac:dyDescent="0.15">
      <c r="A1578" s="10"/>
      <c r="B1578" s="3"/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/>
      <c r="N1578" s="10"/>
      <c r="O1578" s="3"/>
      <c r="P1578" s="10"/>
    </row>
    <row r="1579" spans="1:16" x14ac:dyDescent="0.15">
      <c r="A1579" s="10"/>
      <c r="B1579" s="3"/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/>
      <c r="N1579" s="10"/>
      <c r="O1579" s="3"/>
      <c r="P1579" s="10"/>
    </row>
    <row r="1580" spans="1:16" x14ac:dyDescent="0.15">
      <c r="A1580" s="10"/>
      <c r="B1580" s="3"/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/>
      <c r="N1580" s="10"/>
      <c r="O1580" s="3"/>
      <c r="P1580" s="10"/>
    </row>
    <row r="1581" spans="1:16" x14ac:dyDescent="0.15">
      <c r="A1581" s="10"/>
      <c r="B1581" s="3"/>
      <c r="C1581" s="10"/>
      <c r="D1581" s="10"/>
      <c r="E1581" s="10"/>
      <c r="F1581" s="10"/>
      <c r="G1581" s="10"/>
      <c r="H1581" s="10"/>
      <c r="I1581" s="10"/>
      <c r="J1581" s="10"/>
      <c r="K1581" s="10"/>
      <c r="L1581" s="10"/>
      <c r="M1581" s="10"/>
      <c r="N1581" s="10"/>
      <c r="O1581" s="3"/>
      <c r="P1581" s="10"/>
    </row>
    <row r="1582" spans="1:16" x14ac:dyDescent="0.15">
      <c r="A1582" s="10"/>
      <c r="B1582" s="3"/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/>
      <c r="N1582" s="10"/>
      <c r="O1582" s="3"/>
      <c r="P1582" s="10"/>
    </row>
    <row r="1583" spans="1:16" x14ac:dyDescent="0.15">
      <c r="A1583" s="10"/>
      <c r="B1583" s="3"/>
      <c r="C1583" s="10"/>
      <c r="D1583" s="10"/>
      <c r="E1583" s="10"/>
      <c r="F1583" s="10"/>
      <c r="G1583" s="10"/>
      <c r="H1583" s="10"/>
      <c r="I1583" s="10"/>
      <c r="J1583" s="10"/>
      <c r="K1583" s="10"/>
      <c r="L1583" s="10"/>
      <c r="M1583" s="10"/>
      <c r="N1583" s="10"/>
      <c r="O1583" s="3"/>
      <c r="P1583" s="10"/>
    </row>
    <row r="1584" spans="1:16" x14ac:dyDescent="0.15">
      <c r="A1584" s="10"/>
      <c r="B1584" s="3"/>
      <c r="C1584" s="10"/>
      <c r="D1584" s="10"/>
      <c r="E1584" s="10"/>
      <c r="F1584" s="10"/>
      <c r="G1584" s="10"/>
      <c r="H1584" s="10"/>
      <c r="I1584" s="10"/>
      <c r="J1584" s="10"/>
      <c r="K1584" s="10"/>
      <c r="L1584" s="10"/>
      <c r="M1584" s="10"/>
      <c r="N1584" s="10"/>
      <c r="O1584" s="3"/>
      <c r="P1584" s="10"/>
    </row>
    <row r="1585" spans="1:16" x14ac:dyDescent="0.15">
      <c r="A1585" s="10"/>
      <c r="B1585" s="3"/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/>
      <c r="N1585" s="10"/>
      <c r="O1585" s="3"/>
      <c r="P1585" s="10"/>
    </row>
    <row r="1586" spans="1:16" x14ac:dyDescent="0.15">
      <c r="A1586" s="10"/>
      <c r="B1586" s="3"/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/>
      <c r="N1586" s="10"/>
      <c r="O1586" s="3"/>
      <c r="P1586" s="10"/>
    </row>
    <row r="1587" spans="1:16" x14ac:dyDescent="0.15">
      <c r="A1587" s="10"/>
      <c r="B1587" s="3"/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/>
      <c r="N1587" s="10"/>
      <c r="O1587" s="3"/>
      <c r="P1587" s="10"/>
    </row>
    <row r="1588" spans="1:16" x14ac:dyDescent="0.15">
      <c r="A1588" s="10"/>
      <c r="B1588" s="3"/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/>
      <c r="N1588" s="10"/>
      <c r="O1588" s="3"/>
      <c r="P1588" s="10"/>
    </row>
    <row r="1589" spans="1:16" x14ac:dyDescent="0.15">
      <c r="A1589" s="10"/>
      <c r="B1589" s="3"/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/>
      <c r="N1589" s="10"/>
      <c r="O1589" s="3"/>
      <c r="P1589" s="10"/>
    </row>
    <row r="1590" spans="1:16" x14ac:dyDescent="0.15">
      <c r="A1590" s="10"/>
      <c r="B1590" s="3"/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/>
      <c r="N1590" s="10"/>
      <c r="O1590" s="3"/>
      <c r="P1590" s="10"/>
    </row>
    <row r="1591" spans="1:16" x14ac:dyDescent="0.15">
      <c r="A1591" s="10"/>
      <c r="B1591" s="3"/>
      <c r="C1591" s="10"/>
      <c r="D1591" s="10"/>
      <c r="E1591" s="10"/>
      <c r="F1591" s="10"/>
      <c r="G1591" s="10"/>
      <c r="H1591" s="10"/>
      <c r="I1591" s="10"/>
      <c r="J1591" s="10"/>
      <c r="K1591" s="10"/>
      <c r="L1591" s="10"/>
      <c r="M1591" s="10"/>
      <c r="N1591" s="10"/>
      <c r="O1591" s="3"/>
      <c r="P1591" s="10"/>
    </row>
    <row r="1592" spans="1:16" x14ac:dyDescent="0.15">
      <c r="A1592" s="10"/>
      <c r="B1592" s="3"/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/>
      <c r="N1592" s="10"/>
      <c r="O1592" s="3"/>
      <c r="P1592" s="10"/>
    </row>
    <row r="1593" spans="1:16" x14ac:dyDescent="0.15">
      <c r="A1593" s="10"/>
      <c r="B1593" s="3"/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/>
      <c r="N1593" s="10"/>
      <c r="O1593" s="3"/>
      <c r="P1593" s="10"/>
    </row>
    <row r="1594" spans="1:16" x14ac:dyDescent="0.15">
      <c r="A1594" s="10"/>
      <c r="B1594" s="3"/>
      <c r="C1594" s="10"/>
      <c r="D1594" s="10"/>
      <c r="E1594" s="10"/>
      <c r="F1594" s="10"/>
      <c r="G1594" s="10"/>
      <c r="H1594" s="10"/>
      <c r="I1594" s="10"/>
      <c r="J1594" s="10"/>
      <c r="K1594" s="10"/>
      <c r="L1594" s="10"/>
      <c r="M1594" s="10"/>
      <c r="N1594" s="10"/>
      <c r="O1594" s="3"/>
      <c r="P1594" s="10"/>
    </row>
    <row r="1595" spans="1:16" x14ac:dyDescent="0.15">
      <c r="A1595" s="10"/>
      <c r="B1595" s="3"/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/>
      <c r="N1595" s="10"/>
      <c r="O1595" s="3"/>
      <c r="P1595" s="10"/>
    </row>
    <row r="1596" spans="1:16" x14ac:dyDescent="0.15">
      <c r="A1596" s="10"/>
      <c r="B1596" s="3"/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/>
      <c r="N1596" s="10"/>
      <c r="O1596" s="3"/>
      <c r="P1596" s="10"/>
    </row>
    <row r="1597" spans="1:16" x14ac:dyDescent="0.15">
      <c r="A1597" s="10"/>
      <c r="B1597" s="3"/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/>
      <c r="N1597" s="10"/>
      <c r="O1597" s="3"/>
      <c r="P1597" s="10"/>
    </row>
    <row r="1598" spans="1:16" x14ac:dyDescent="0.15">
      <c r="A1598" s="10"/>
      <c r="B1598" s="3"/>
      <c r="C1598" s="10"/>
      <c r="D1598" s="10"/>
      <c r="E1598" s="10"/>
      <c r="F1598" s="10"/>
      <c r="G1598" s="10"/>
      <c r="H1598" s="10"/>
      <c r="I1598" s="10"/>
      <c r="J1598" s="10"/>
      <c r="K1598" s="10"/>
      <c r="L1598" s="10"/>
      <c r="M1598" s="10"/>
      <c r="N1598" s="10"/>
      <c r="O1598" s="3"/>
      <c r="P1598" s="10"/>
    </row>
    <row r="1599" spans="1:16" x14ac:dyDescent="0.15">
      <c r="A1599" s="10"/>
      <c r="B1599" s="3"/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/>
      <c r="N1599" s="10"/>
      <c r="O1599" s="3"/>
      <c r="P1599" s="10"/>
    </row>
    <row r="1600" spans="1:16" x14ac:dyDescent="0.15">
      <c r="A1600" s="10"/>
      <c r="B1600" s="3"/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/>
      <c r="N1600" s="10"/>
      <c r="O1600" s="3"/>
      <c r="P1600" s="10"/>
    </row>
    <row r="1601" spans="1:16" x14ac:dyDescent="0.15">
      <c r="A1601" s="10"/>
      <c r="B1601" s="3"/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/>
      <c r="N1601" s="10"/>
      <c r="O1601" s="3"/>
      <c r="P1601" s="10"/>
    </row>
    <row r="1602" spans="1:16" x14ac:dyDescent="0.15">
      <c r="A1602" s="10"/>
      <c r="B1602" s="3"/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/>
      <c r="N1602" s="10"/>
      <c r="O1602" s="3"/>
      <c r="P1602" s="10"/>
    </row>
    <row r="1603" spans="1:16" x14ac:dyDescent="0.15">
      <c r="A1603" s="10"/>
      <c r="B1603" s="3"/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/>
      <c r="N1603" s="10"/>
      <c r="O1603" s="3"/>
      <c r="P1603" s="10"/>
    </row>
    <row r="1604" spans="1:16" x14ac:dyDescent="0.15">
      <c r="A1604" s="10"/>
      <c r="B1604" s="3"/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/>
      <c r="N1604" s="10"/>
      <c r="O1604" s="3"/>
      <c r="P1604" s="10"/>
    </row>
    <row r="1605" spans="1:16" x14ac:dyDescent="0.15">
      <c r="A1605" s="10"/>
      <c r="B1605" s="3"/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/>
      <c r="N1605" s="10"/>
      <c r="O1605" s="3"/>
      <c r="P1605" s="10"/>
    </row>
    <row r="1606" spans="1:16" x14ac:dyDescent="0.15">
      <c r="A1606" s="10"/>
      <c r="B1606" s="3"/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/>
      <c r="N1606" s="10"/>
      <c r="O1606" s="3"/>
      <c r="P1606" s="10"/>
    </row>
    <row r="1607" spans="1:16" x14ac:dyDescent="0.15">
      <c r="A1607" s="10"/>
      <c r="B1607" s="3"/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/>
      <c r="N1607" s="10"/>
      <c r="O1607" s="3"/>
      <c r="P1607" s="10"/>
    </row>
    <row r="1608" spans="1:16" x14ac:dyDescent="0.15">
      <c r="A1608" s="10"/>
      <c r="B1608" s="3"/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/>
      <c r="N1608" s="10"/>
      <c r="O1608" s="3"/>
      <c r="P1608" s="10"/>
    </row>
    <row r="1609" spans="1:16" x14ac:dyDescent="0.15">
      <c r="A1609" s="10"/>
      <c r="B1609" s="3"/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/>
      <c r="N1609" s="10"/>
      <c r="O1609" s="3"/>
      <c r="P1609" s="10"/>
    </row>
    <row r="1610" spans="1:16" x14ac:dyDescent="0.15">
      <c r="A1610" s="10"/>
      <c r="B1610" s="3"/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/>
      <c r="N1610" s="10"/>
      <c r="O1610" s="3"/>
      <c r="P1610" s="10"/>
    </row>
    <row r="1611" spans="1:16" x14ac:dyDescent="0.15">
      <c r="A1611" s="10"/>
      <c r="B1611" s="3"/>
      <c r="C1611" s="10"/>
      <c r="D1611" s="10"/>
      <c r="E1611" s="10"/>
      <c r="F1611" s="10"/>
      <c r="G1611" s="10"/>
      <c r="H1611" s="10"/>
      <c r="I1611" s="10"/>
      <c r="J1611" s="10"/>
      <c r="K1611" s="10"/>
      <c r="L1611" s="10"/>
      <c r="M1611" s="10"/>
      <c r="N1611" s="10"/>
      <c r="O1611" s="3"/>
      <c r="P1611" s="10"/>
    </row>
    <row r="1612" spans="1:16" x14ac:dyDescent="0.15">
      <c r="A1612" s="10"/>
      <c r="B1612" s="3"/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/>
      <c r="N1612" s="10"/>
      <c r="O1612" s="3"/>
      <c r="P1612" s="10"/>
    </row>
    <row r="1613" spans="1:16" x14ac:dyDescent="0.15">
      <c r="A1613" s="10"/>
      <c r="B1613" s="3"/>
      <c r="C1613" s="10"/>
      <c r="D1613" s="10"/>
      <c r="E1613" s="10"/>
      <c r="F1613" s="10"/>
      <c r="G1613" s="10"/>
      <c r="H1613" s="10"/>
      <c r="I1613" s="10"/>
      <c r="J1613" s="10"/>
      <c r="K1613" s="10"/>
      <c r="L1613" s="10"/>
      <c r="M1613" s="10"/>
      <c r="N1613" s="10"/>
      <c r="O1613" s="3"/>
      <c r="P1613" s="10"/>
    </row>
    <row r="1614" spans="1:16" x14ac:dyDescent="0.15">
      <c r="A1614" s="10"/>
      <c r="B1614" s="3"/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/>
      <c r="N1614" s="10"/>
      <c r="O1614" s="3"/>
      <c r="P1614" s="10"/>
    </row>
    <row r="1615" spans="1:16" x14ac:dyDescent="0.15">
      <c r="A1615" s="10"/>
      <c r="B1615" s="3"/>
      <c r="C1615" s="10"/>
      <c r="D1615" s="10"/>
      <c r="E1615" s="10"/>
      <c r="F1615" s="10"/>
      <c r="G1615" s="10"/>
      <c r="H1615" s="10"/>
      <c r="I1615" s="10"/>
      <c r="J1615" s="10"/>
      <c r="K1615" s="10"/>
      <c r="L1615" s="10"/>
      <c r="M1615" s="10"/>
      <c r="N1615" s="10"/>
      <c r="O1615" s="3"/>
      <c r="P1615" s="10"/>
    </row>
    <row r="1616" spans="1:16" x14ac:dyDescent="0.15">
      <c r="A1616" s="10"/>
      <c r="B1616" s="3"/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/>
      <c r="N1616" s="10"/>
      <c r="O1616" s="3"/>
      <c r="P1616" s="10"/>
    </row>
    <row r="1617" spans="1:16" x14ac:dyDescent="0.15">
      <c r="A1617" s="10"/>
      <c r="B1617" s="3"/>
      <c r="C1617" s="10"/>
      <c r="D1617" s="10"/>
      <c r="E1617" s="10"/>
      <c r="F1617" s="10"/>
      <c r="G1617" s="10"/>
      <c r="H1617" s="10"/>
      <c r="I1617" s="10"/>
      <c r="J1617" s="10"/>
      <c r="K1617" s="10"/>
      <c r="L1617" s="10"/>
      <c r="M1617" s="10"/>
      <c r="N1617" s="10"/>
      <c r="O1617" s="3"/>
      <c r="P1617" s="10"/>
    </row>
    <row r="1618" spans="1:16" x14ac:dyDescent="0.15">
      <c r="A1618" s="10"/>
      <c r="B1618" s="3"/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/>
      <c r="N1618" s="10"/>
      <c r="O1618" s="3"/>
      <c r="P1618" s="10"/>
    </row>
    <row r="1619" spans="1:16" x14ac:dyDescent="0.15">
      <c r="A1619" s="10"/>
      <c r="B1619" s="3"/>
      <c r="C1619" s="10"/>
      <c r="D1619" s="10"/>
      <c r="E1619" s="10"/>
      <c r="F1619" s="10"/>
      <c r="G1619" s="10"/>
      <c r="H1619" s="10"/>
      <c r="I1619" s="10"/>
      <c r="J1619" s="10"/>
      <c r="K1619" s="10"/>
      <c r="L1619" s="10"/>
      <c r="M1619" s="10"/>
      <c r="N1619" s="10"/>
      <c r="O1619" s="3"/>
      <c r="P1619" s="10"/>
    </row>
    <row r="1620" spans="1:16" x14ac:dyDescent="0.15">
      <c r="A1620" s="10"/>
      <c r="B1620" s="3"/>
      <c r="C1620" s="10"/>
      <c r="D1620" s="10"/>
      <c r="E1620" s="10"/>
      <c r="F1620" s="10"/>
      <c r="G1620" s="10"/>
      <c r="H1620" s="10"/>
      <c r="I1620" s="10"/>
      <c r="J1620" s="10"/>
      <c r="K1620" s="10"/>
      <c r="L1620" s="10"/>
      <c r="M1620" s="10"/>
      <c r="N1620" s="10"/>
      <c r="O1620" s="3"/>
      <c r="P1620" s="10"/>
    </row>
    <row r="1621" spans="1:16" x14ac:dyDescent="0.15">
      <c r="A1621" s="10"/>
      <c r="B1621" s="3"/>
      <c r="C1621" s="10"/>
      <c r="D1621" s="10"/>
      <c r="E1621" s="10"/>
      <c r="F1621" s="10"/>
      <c r="G1621" s="10"/>
      <c r="H1621" s="10"/>
      <c r="I1621" s="10"/>
      <c r="J1621" s="10"/>
      <c r="K1621" s="10"/>
      <c r="L1621" s="10"/>
      <c r="M1621" s="10"/>
      <c r="N1621" s="10"/>
      <c r="O1621" s="3"/>
      <c r="P1621" s="10"/>
    </row>
    <row r="1622" spans="1:16" x14ac:dyDescent="0.15">
      <c r="A1622" s="10"/>
      <c r="B1622" s="3"/>
      <c r="C1622" s="10"/>
      <c r="D1622" s="10"/>
      <c r="E1622" s="10"/>
      <c r="F1622" s="10"/>
      <c r="G1622" s="10"/>
      <c r="H1622" s="10"/>
      <c r="I1622" s="10"/>
      <c r="J1622" s="10"/>
      <c r="K1622" s="10"/>
      <c r="L1622" s="10"/>
      <c r="M1622" s="10"/>
      <c r="N1622" s="10"/>
      <c r="O1622" s="3"/>
      <c r="P1622" s="10"/>
    </row>
    <row r="1623" spans="1:16" x14ac:dyDescent="0.15">
      <c r="A1623" s="10"/>
      <c r="B1623" s="3"/>
      <c r="C1623" s="10"/>
      <c r="D1623" s="10"/>
      <c r="E1623" s="10"/>
      <c r="F1623" s="10"/>
      <c r="G1623" s="10"/>
      <c r="H1623" s="10"/>
      <c r="I1623" s="10"/>
      <c r="J1623" s="10"/>
      <c r="K1623" s="10"/>
      <c r="L1623" s="10"/>
      <c r="M1623" s="10"/>
      <c r="N1623" s="10"/>
      <c r="O1623" s="3"/>
      <c r="P1623" s="10"/>
    </row>
    <row r="1624" spans="1:16" x14ac:dyDescent="0.15">
      <c r="A1624" s="10"/>
      <c r="B1624" s="3"/>
      <c r="C1624" s="10"/>
      <c r="D1624" s="10"/>
      <c r="E1624" s="10"/>
      <c r="F1624" s="10"/>
      <c r="G1624" s="10"/>
      <c r="H1624" s="10"/>
      <c r="I1624" s="10"/>
      <c r="J1624" s="10"/>
      <c r="K1624" s="10"/>
      <c r="L1624" s="10"/>
      <c r="M1624" s="10"/>
      <c r="N1624" s="10"/>
      <c r="O1624" s="3"/>
      <c r="P1624" s="10"/>
    </row>
    <row r="1625" spans="1:16" x14ac:dyDescent="0.15">
      <c r="A1625" s="10"/>
      <c r="B1625" s="3"/>
      <c r="C1625" s="10"/>
      <c r="D1625" s="10"/>
      <c r="E1625" s="10"/>
      <c r="F1625" s="10"/>
      <c r="G1625" s="10"/>
      <c r="H1625" s="10"/>
      <c r="I1625" s="10"/>
      <c r="J1625" s="10"/>
      <c r="K1625" s="10"/>
      <c r="L1625" s="10"/>
      <c r="M1625" s="10"/>
      <c r="N1625" s="10"/>
      <c r="O1625" s="3"/>
      <c r="P1625" s="10"/>
    </row>
    <row r="1626" spans="1:16" x14ac:dyDescent="0.15">
      <c r="A1626" s="10"/>
      <c r="B1626" s="3"/>
      <c r="C1626" s="10"/>
      <c r="D1626" s="10"/>
      <c r="E1626" s="10"/>
      <c r="F1626" s="10"/>
      <c r="G1626" s="10"/>
      <c r="H1626" s="10"/>
      <c r="I1626" s="10"/>
      <c r="J1626" s="10"/>
      <c r="K1626" s="10"/>
      <c r="L1626" s="10"/>
      <c r="M1626" s="10"/>
      <c r="N1626" s="10"/>
      <c r="O1626" s="3"/>
      <c r="P1626" s="10"/>
    </row>
    <row r="1627" spans="1:16" x14ac:dyDescent="0.15">
      <c r="A1627" s="10"/>
      <c r="B1627" s="3"/>
      <c r="C1627" s="10"/>
      <c r="D1627" s="10"/>
      <c r="E1627" s="10"/>
      <c r="F1627" s="10"/>
      <c r="G1627" s="10"/>
      <c r="H1627" s="10"/>
      <c r="I1627" s="10"/>
      <c r="J1627" s="10"/>
      <c r="K1627" s="10"/>
      <c r="L1627" s="10"/>
      <c r="M1627" s="10"/>
      <c r="N1627" s="10"/>
      <c r="O1627" s="3"/>
      <c r="P1627" s="10"/>
    </row>
    <row r="1628" spans="1:16" x14ac:dyDescent="0.15">
      <c r="A1628" s="10"/>
      <c r="B1628" s="3"/>
      <c r="C1628" s="10"/>
      <c r="D1628" s="10"/>
      <c r="E1628" s="10"/>
      <c r="F1628" s="10"/>
      <c r="G1628" s="10"/>
      <c r="H1628" s="10"/>
      <c r="I1628" s="10"/>
      <c r="J1628" s="10"/>
      <c r="K1628" s="10"/>
      <c r="L1628" s="10"/>
      <c r="M1628" s="10"/>
      <c r="N1628" s="10"/>
      <c r="O1628" s="3"/>
      <c r="P1628" s="10"/>
    </row>
    <row r="1629" spans="1:16" x14ac:dyDescent="0.15">
      <c r="A1629" s="10"/>
      <c r="B1629" s="3"/>
      <c r="C1629" s="10"/>
      <c r="D1629" s="10"/>
      <c r="E1629" s="10"/>
      <c r="F1629" s="10"/>
      <c r="G1629" s="10"/>
      <c r="H1629" s="10"/>
      <c r="I1629" s="10"/>
      <c r="J1629" s="10"/>
      <c r="K1629" s="10"/>
      <c r="L1629" s="10"/>
      <c r="M1629" s="10"/>
      <c r="N1629" s="10"/>
      <c r="O1629" s="3"/>
      <c r="P1629" s="10"/>
    </row>
    <row r="1630" spans="1:16" x14ac:dyDescent="0.15">
      <c r="A1630" s="10"/>
      <c r="B1630" s="3"/>
      <c r="C1630" s="10"/>
      <c r="D1630" s="10"/>
      <c r="E1630" s="10"/>
      <c r="F1630" s="10"/>
      <c r="G1630" s="10"/>
      <c r="H1630" s="10"/>
      <c r="I1630" s="10"/>
      <c r="J1630" s="10"/>
      <c r="K1630" s="10"/>
      <c r="L1630" s="10"/>
      <c r="M1630" s="10"/>
      <c r="N1630" s="10"/>
      <c r="O1630" s="3"/>
      <c r="P1630" s="10"/>
    </row>
    <row r="1631" spans="1:16" x14ac:dyDescent="0.15">
      <c r="A1631" s="10"/>
      <c r="B1631" s="3"/>
      <c r="C1631" s="10"/>
      <c r="D1631" s="10"/>
      <c r="E1631" s="10"/>
      <c r="F1631" s="10"/>
      <c r="G1631" s="10"/>
      <c r="H1631" s="10"/>
      <c r="I1631" s="10"/>
      <c r="J1631" s="10"/>
      <c r="K1631" s="10"/>
      <c r="L1631" s="10"/>
      <c r="M1631" s="10"/>
      <c r="N1631" s="10"/>
      <c r="O1631" s="3"/>
      <c r="P1631" s="10"/>
    </row>
    <row r="1632" spans="1:16" x14ac:dyDescent="0.15">
      <c r="A1632" s="10"/>
      <c r="B1632" s="3"/>
      <c r="C1632" s="10"/>
      <c r="D1632" s="10"/>
      <c r="E1632" s="10"/>
      <c r="F1632" s="10"/>
      <c r="G1632" s="10"/>
      <c r="H1632" s="10"/>
      <c r="I1632" s="10"/>
      <c r="J1632" s="10"/>
      <c r="K1632" s="10"/>
      <c r="L1632" s="10"/>
      <c r="M1632" s="10"/>
      <c r="N1632" s="10"/>
      <c r="O1632" s="3"/>
      <c r="P1632" s="10"/>
    </row>
    <row r="1633" spans="1:16" x14ac:dyDescent="0.15">
      <c r="A1633" s="10"/>
      <c r="B1633" s="3"/>
      <c r="C1633" s="10"/>
      <c r="D1633" s="10"/>
      <c r="E1633" s="10"/>
      <c r="F1633" s="10"/>
      <c r="G1633" s="10"/>
      <c r="H1633" s="10"/>
      <c r="I1633" s="10"/>
      <c r="J1633" s="10"/>
      <c r="K1633" s="10"/>
      <c r="L1633" s="10"/>
      <c r="M1633" s="10"/>
      <c r="N1633" s="10"/>
      <c r="O1633" s="3"/>
      <c r="P1633" s="10"/>
    </row>
    <row r="1634" spans="1:16" x14ac:dyDescent="0.15">
      <c r="A1634" s="10"/>
      <c r="B1634" s="3"/>
      <c r="C1634" s="10"/>
      <c r="D1634" s="10"/>
      <c r="E1634" s="10"/>
      <c r="F1634" s="10"/>
      <c r="G1634" s="10"/>
      <c r="H1634" s="10"/>
      <c r="I1634" s="10"/>
      <c r="J1634" s="10"/>
      <c r="K1634" s="10"/>
      <c r="L1634" s="10"/>
      <c r="M1634" s="10"/>
      <c r="N1634" s="10"/>
      <c r="O1634" s="3"/>
      <c r="P1634" s="10"/>
    </row>
    <row r="1635" spans="1:16" x14ac:dyDescent="0.15">
      <c r="A1635" s="10"/>
      <c r="B1635" s="3"/>
      <c r="C1635" s="10"/>
      <c r="D1635" s="10"/>
      <c r="E1635" s="10"/>
      <c r="F1635" s="10"/>
      <c r="G1635" s="10"/>
      <c r="H1635" s="10"/>
      <c r="I1635" s="10"/>
      <c r="J1635" s="10"/>
      <c r="K1635" s="10"/>
      <c r="L1635" s="10"/>
      <c r="M1635" s="10"/>
      <c r="N1635" s="10"/>
      <c r="O1635" s="3"/>
      <c r="P1635" s="10"/>
    </row>
    <row r="1636" spans="1:16" x14ac:dyDescent="0.15">
      <c r="A1636" s="10"/>
      <c r="B1636" s="3"/>
      <c r="C1636" s="10"/>
      <c r="D1636" s="10"/>
      <c r="E1636" s="10"/>
      <c r="F1636" s="10"/>
      <c r="G1636" s="10"/>
      <c r="H1636" s="10"/>
      <c r="I1636" s="10"/>
      <c r="J1636" s="10"/>
      <c r="K1636" s="10"/>
      <c r="L1636" s="10"/>
      <c r="M1636" s="10"/>
      <c r="N1636" s="10"/>
      <c r="O1636" s="3"/>
      <c r="P1636" s="10"/>
    </row>
    <row r="1637" spans="1:16" x14ac:dyDescent="0.15">
      <c r="A1637" s="10"/>
      <c r="B1637" s="3"/>
      <c r="C1637" s="10"/>
      <c r="D1637" s="10"/>
      <c r="E1637" s="10"/>
      <c r="F1637" s="10"/>
      <c r="G1637" s="10"/>
      <c r="H1637" s="10"/>
      <c r="I1637" s="10"/>
      <c r="J1637" s="10"/>
      <c r="K1637" s="10"/>
      <c r="L1637" s="10"/>
      <c r="M1637" s="10"/>
      <c r="N1637" s="10"/>
      <c r="O1637" s="3"/>
      <c r="P1637" s="10"/>
    </row>
    <row r="1638" spans="1:16" x14ac:dyDescent="0.15">
      <c r="A1638" s="10"/>
      <c r="B1638" s="3"/>
      <c r="C1638" s="10"/>
      <c r="D1638" s="10"/>
      <c r="E1638" s="10"/>
      <c r="F1638" s="10"/>
      <c r="G1638" s="10"/>
      <c r="H1638" s="10"/>
      <c r="I1638" s="10"/>
      <c r="J1638" s="10"/>
      <c r="K1638" s="10"/>
      <c r="L1638" s="10"/>
      <c r="M1638" s="10"/>
      <c r="N1638" s="10"/>
      <c r="O1638" s="3"/>
      <c r="P1638" s="10"/>
    </row>
    <row r="1639" spans="1:16" x14ac:dyDescent="0.15">
      <c r="A1639" s="10"/>
      <c r="B1639" s="3"/>
      <c r="C1639" s="10"/>
      <c r="D1639" s="10"/>
      <c r="E1639" s="10"/>
      <c r="F1639" s="10"/>
      <c r="G1639" s="10"/>
      <c r="H1639" s="10"/>
      <c r="I1639" s="10"/>
      <c r="J1639" s="10"/>
      <c r="K1639" s="10"/>
      <c r="L1639" s="10"/>
      <c r="M1639" s="10"/>
      <c r="N1639" s="10"/>
      <c r="O1639" s="3"/>
      <c r="P1639" s="10"/>
    </row>
    <row r="1640" spans="1:16" x14ac:dyDescent="0.15">
      <c r="A1640" s="10"/>
      <c r="B1640" s="3"/>
      <c r="C1640" s="10"/>
      <c r="D1640" s="10"/>
      <c r="E1640" s="10"/>
      <c r="F1640" s="10"/>
      <c r="G1640" s="10"/>
      <c r="H1640" s="10"/>
      <c r="I1640" s="10"/>
      <c r="J1640" s="10"/>
      <c r="K1640" s="10"/>
      <c r="L1640" s="10"/>
      <c r="M1640" s="10"/>
      <c r="N1640" s="10"/>
      <c r="O1640" s="3"/>
      <c r="P1640" s="10"/>
    </row>
    <row r="1641" spans="1:16" x14ac:dyDescent="0.15">
      <c r="A1641" s="10"/>
      <c r="B1641" s="3"/>
      <c r="C1641" s="10"/>
      <c r="D1641" s="10"/>
      <c r="E1641" s="10"/>
      <c r="F1641" s="10"/>
      <c r="G1641" s="10"/>
      <c r="H1641" s="10"/>
      <c r="I1641" s="10"/>
      <c r="J1641" s="10"/>
      <c r="K1641" s="10"/>
      <c r="L1641" s="10"/>
      <c r="M1641" s="10"/>
      <c r="N1641" s="10"/>
      <c r="O1641" s="3"/>
      <c r="P1641" s="10"/>
    </row>
    <row r="1642" spans="1:16" x14ac:dyDescent="0.15">
      <c r="A1642" s="10"/>
      <c r="B1642" s="3"/>
      <c r="C1642" s="10"/>
      <c r="D1642" s="10"/>
      <c r="E1642" s="10"/>
      <c r="F1642" s="10"/>
      <c r="G1642" s="10"/>
      <c r="H1642" s="10"/>
      <c r="I1642" s="10"/>
      <c r="J1642" s="10"/>
      <c r="K1642" s="10"/>
      <c r="L1642" s="10"/>
      <c r="M1642" s="10"/>
      <c r="N1642" s="10"/>
      <c r="O1642" s="3"/>
      <c r="P1642" s="10"/>
    </row>
    <row r="1643" spans="1:16" x14ac:dyDescent="0.15">
      <c r="A1643" s="10"/>
      <c r="B1643" s="3"/>
      <c r="C1643" s="10"/>
      <c r="D1643" s="10"/>
      <c r="E1643" s="10"/>
      <c r="F1643" s="10"/>
      <c r="G1643" s="10"/>
      <c r="H1643" s="10"/>
      <c r="I1643" s="10"/>
      <c r="J1643" s="10"/>
      <c r="K1643" s="10"/>
      <c r="L1643" s="10"/>
      <c r="M1643" s="10"/>
      <c r="N1643" s="10"/>
      <c r="O1643" s="3"/>
      <c r="P1643" s="10"/>
    </row>
    <row r="1644" spans="1:16" x14ac:dyDescent="0.15">
      <c r="A1644" s="10"/>
      <c r="B1644" s="3"/>
      <c r="C1644" s="10"/>
      <c r="D1644" s="10"/>
      <c r="E1644" s="10"/>
      <c r="F1644" s="10"/>
      <c r="G1644" s="10"/>
      <c r="H1644" s="10"/>
      <c r="I1644" s="10"/>
      <c r="J1644" s="10"/>
      <c r="K1644" s="10"/>
      <c r="L1644" s="10"/>
      <c r="M1644" s="10"/>
      <c r="N1644" s="10"/>
      <c r="O1644" s="3"/>
      <c r="P1644" s="10"/>
    </row>
    <row r="1645" spans="1:16" x14ac:dyDescent="0.15">
      <c r="A1645" s="10"/>
      <c r="B1645" s="3"/>
      <c r="C1645" s="10"/>
      <c r="D1645" s="10"/>
      <c r="E1645" s="10"/>
      <c r="F1645" s="10"/>
      <c r="G1645" s="10"/>
      <c r="H1645" s="10"/>
      <c r="I1645" s="10"/>
      <c r="J1645" s="10"/>
      <c r="K1645" s="10"/>
      <c r="L1645" s="10"/>
      <c r="M1645" s="10"/>
      <c r="N1645" s="10"/>
      <c r="O1645" s="3"/>
      <c r="P1645" s="10"/>
    </row>
    <row r="1646" spans="1:16" x14ac:dyDescent="0.15">
      <c r="A1646" s="10"/>
      <c r="B1646" s="3"/>
      <c r="C1646" s="10"/>
      <c r="D1646" s="10"/>
      <c r="E1646" s="10"/>
      <c r="F1646" s="10"/>
      <c r="G1646" s="10"/>
      <c r="H1646" s="10"/>
      <c r="I1646" s="10"/>
      <c r="J1646" s="10"/>
      <c r="K1646" s="10"/>
      <c r="L1646" s="10"/>
      <c r="M1646" s="10"/>
      <c r="N1646" s="10"/>
      <c r="O1646" s="3"/>
      <c r="P1646" s="10"/>
    </row>
    <row r="1647" spans="1:16" x14ac:dyDescent="0.15">
      <c r="A1647" s="10"/>
      <c r="B1647" s="3"/>
      <c r="C1647" s="10"/>
      <c r="D1647" s="10"/>
      <c r="E1647" s="10"/>
      <c r="F1647" s="10"/>
      <c r="G1647" s="10"/>
      <c r="H1647" s="10"/>
      <c r="I1647" s="10"/>
      <c r="J1647" s="10"/>
      <c r="K1647" s="10"/>
      <c r="L1647" s="10"/>
      <c r="M1647" s="10"/>
      <c r="N1647" s="10"/>
      <c r="O1647" s="3"/>
      <c r="P1647" s="10"/>
    </row>
    <row r="1648" spans="1:16" x14ac:dyDescent="0.15">
      <c r="A1648" s="10"/>
      <c r="B1648" s="3"/>
      <c r="C1648" s="10"/>
      <c r="D1648" s="10"/>
      <c r="E1648" s="10"/>
      <c r="F1648" s="10"/>
      <c r="G1648" s="10"/>
      <c r="H1648" s="10"/>
      <c r="I1648" s="10"/>
      <c r="J1648" s="10"/>
      <c r="K1648" s="10"/>
      <c r="L1648" s="10"/>
      <c r="M1648" s="10"/>
      <c r="N1648" s="10"/>
      <c r="O1648" s="3"/>
      <c r="P1648" s="10"/>
    </row>
    <row r="1649" spans="1:16" x14ac:dyDescent="0.15">
      <c r="A1649" s="10"/>
      <c r="B1649" s="3"/>
      <c r="C1649" s="10"/>
      <c r="D1649" s="10"/>
      <c r="E1649" s="10"/>
      <c r="F1649" s="10"/>
      <c r="G1649" s="10"/>
      <c r="H1649" s="10"/>
      <c r="I1649" s="10"/>
      <c r="J1649" s="10"/>
      <c r="K1649" s="10"/>
      <c r="L1649" s="10"/>
      <c r="M1649" s="10"/>
      <c r="N1649" s="10"/>
      <c r="O1649" s="3"/>
      <c r="P1649" s="10"/>
    </row>
    <row r="1650" spans="1:16" x14ac:dyDescent="0.15">
      <c r="A1650" s="10"/>
      <c r="B1650" s="3"/>
      <c r="C1650" s="10"/>
      <c r="D1650" s="10"/>
      <c r="E1650" s="10"/>
      <c r="F1650" s="10"/>
      <c r="G1650" s="10"/>
      <c r="H1650" s="10"/>
      <c r="I1650" s="10"/>
      <c r="J1650" s="10"/>
      <c r="K1650" s="10"/>
      <c r="L1650" s="10"/>
      <c r="M1650" s="10"/>
      <c r="N1650" s="10"/>
      <c r="O1650" s="3"/>
      <c r="P1650" s="10"/>
    </row>
    <row r="1651" spans="1:16" x14ac:dyDescent="0.15">
      <c r="A1651" s="10"/>
      <c r="B1651" s="3"/>
      <c r="C1651" s="10"/>
      <c r="D1651" s="10"/>
      <c r="E1651" s="10"/>
      <c r="F1651" s="10"/>
      <c r="G1651" s="10"/>
      <c r="H1651" s="10"/>
      <c r="I1651" s="10"/>
      <c r="J1651" s="10"/>
      <c r="K1651" s="10"/>
      <c r="L1651" s="10"/>
      <c r="M1651" s="10"/>
      <c r="N1651" s="10"/>
      <c r="O1651" s="3"/>
      <c r="P1651" s="10"/>
    </row>
    <row r="1652" spans="1:16" x14ac:dyDescent="0.15">
      <c r="A1652" s="10"/>
      <c r="B1652" s="3"/>
      <c r="C1652" s="10"/>
      <c r="D1652" s="10"/>
      <c r="E1652" s="10"/>
      <c r="F1652" s="10"/>
      <c r="G1652" s="10"/>
      <c r="H1652" s="10"/>
      <c r="I1652" s="10"/>
      <c r="J1652" s="10"/>
      <c r="K1652" s="10"/>
      <c r="L1652" s="10"/>
      <c r="M1652" s="10"/>
      <c r="N1652" s="10"/>
      <c r="O1652" s="3"/>
      <c r="P1652" s="10"/>
    </row>
    <row r="1653" spans="1:16" x14ac:dyDescent="0.15">
      <c r="A1653" s="10"/>
      <c r="B1653" s="3"/>
      <c r="C1653" s="10"/>
      <c r="D1653" s="10"/>
      <c r="E1653" s="10"/>
      <c r="F1653" s="10"/>
      <c r="G1653" s="10"/>
      <c r="H1653" s="10"/>
      <c r="I1653" s="10"/>
      <c r="J1653" s="10"/>
      <c r="K1653" s="10"/>
      <c r="L1653" s="10"/>
      <c r="M1653" s="10"/>
      <c r="N1653" s="10"/>
      <c r="O1653" s="3"/>
      <c r="P1653" s="10"/>
    </row>
    <row r="1654" spans="1:16" x14ac:dyDescent="0.15">
      <c r="A1654" s="10"/>
      <c r="B1654" s="3"/>
      <c r="C1654" s="10"/>
      <c r="D1654" s="10"/>
      <c r="E1654" s="10"/>
      <c r="F1654" s="10"/>
      <c r="G1654" s="10"/>
      <c r="H1654" s="10"/>
      <c r="I1654" s="10"/>
      <c r="J1654" s="10"/>
      <c r="K1654" s="10"/>
      <c r="L1654" s="10"/>
      <c r="M1654" s="10"/>
      <c r="N1654" s="10"/>
      <c r="O1654" s="3"/>
      <c r="P1654" s="10"/>
    </row>
    <row r="1655" spans="1:16" x14ac:dyDescent="0.15">
      <c r="A1655" s="10"/>
      <c r="B1655" s="3"/>
      <c r="C1655" s="10"/>
      <c r="D1655" s="10"/>
      <c r="E1655" s="10"/>
      <c r="F1655" s="10"/>
      <c r="G1655" s="10"/>
      <c r="H1655" s="10"/>
      <c r="I1655" s="10"/>
      <c r="J1655" s="10"/>
      <c r="K1655" s="10"/>
      <c r="L1655" s="10"/>
      <c r="M1655" s="10"/>
      <c r="N1655" s="10"/>
      <c r="O1655" s="3"/>
      <c r="P1655" s="10"/>
    </row>
    <row r="1656" spans="1:16" x14ac:dyDescent="0.15">
      <c r="A1656" s="10"/>
      <c r="B1656" s="3"/>
      <c r="C1656" s="10"/>
      <c r="D1656" s="10"/>
      <c r="E1656" s="10"/>
      <c r="F1656" s="10"/>
      <c r="G1656" s="10"/>
      <c r="H1656" s="10"/>
      <c r="I1656" s="10"/>
      <c r="J1656" s="10"/>
      <c r="K1656" s="10"/>
      <c r="L1656" s="10"/>
      <c r="M1656" s="10"/>
      <c r="N1656" s="10"/>
      <c r="O1656" s="3"/>
      <c r="P1656" s="10"/>
    </row>
    <row r="1657" spans="1:16" x14ac:dyDescent="0.15">
      <c r="A1657" s="10"/>
      <c r="B1657" s="3"/>
      <c r="C1657" s="10"/>
      <c r="D1657" s="10"/>
      <c r="E1657" s="10"/>
      <c r="F1657" s="10"/>
      <c r="G1657" s="10"/>
      <c r="H1657" s="10"/>
      <c r="I1657" s="10"/>
      <c r="J1657" s="10"/>
      <c r="K1657" s="10"/>
      <c r="L1657" s="10"/>
      <c r="M1657" s="10"/>
      <c r="N1657" s="10"/>
      <c r="O1657" s="3"/>
      <c r="P1657" s="10"/>
    </row>
    <row r="1658" spans="1:16" x14ac:dyDescent="0.15">
      <c r="A1658" s="10"/>
      <c r="B1658" s="3"/>
      <c r="C1658" s="10"/>
      <c r="D1658" s="10"/>
      <c r="E1658" s="10"/>
      <c r="F1658" s="10"/>
      <c r="G1658" s="10"/>
      <c r="H1658" s="10"/>
      <c r="I1658" s="10"/>
      <c r="J1658" s="10"/>
      <c r="K1658" s="10"/>
      <c r="L1658" s="10"/>
      <c r="M1658" s="10"/>
      <c r="N1658" s="10"/>
      <c r="O1658" s="3"/>
      <c r="P1658" s="10"/>
    </row>
    <row r="1659" spans="1:16" x14ac:dyDescent="0.15">
      <c r="A1659" s="10"/>
      <c r="B1659" s="3"/>
      <c r="C1659" s="10"/>
      <c r="D1659" s="10"/>
      <c r="E1659" s="10"/>
      <c r="F1659" s="10"/>
      <c r="G1659" s="10"/>
      <c r="H1659" s="10"/>
      <c r="I1659" s="10"/>
      <c r="J1659" s="10"/>
      <c r="K1659" s="10"/>
      <c r="L1659" s="10"/>
      <c r="M1659" s="10"/>
      <c r="N1659" s="10"/>
      <c r="O1659" s="3"/>
      <c r="P1659" s="10"/>
    </row>
    <row r="1660" spans="1:16" x14ac:dyDescent="0.15">
      <c r="A1660" s="10"/>
      <c r="B1660" s="3"/>
      <c r="C1660" s="10"/>
      <c r="D1660" s="10"/>
      <c r="E1660" s="10"/>
      <c r="F1660" s="10"/>
      <c r="G1660" s="10"/>
      <c r="H1660" s="10"/>
      <c r="I1660" s="10"/>
      <c r="J1660" s="10"/>
      <c r="K1660" s="10"/>
      <c r="L1660" s="10"/>
      <c r="M1660" s="10"/>
      <c r="N1660" s="10"/>
      <c r="O1660" s="3"/>
      <c r="P1660" s="10"/>
    </row>
    <row r="1661" spans="1:16" x14ac:dyDescent="0.15">
      <c r="A1661" s="10"/>
      <c r="B1661" s="3"/>
      <c r="C1661" s="10"/>
      <c r="D1661" s="10"/>
      <c r="E1661" s="10"/>
      <c r="F1661" s="10"/>
      <c r="G1661" s="10"/>
      <c r="H1661" s="10"/>
      <c r="I1661" s="10"/>
      <c r="J1661" s="10"/>
      <c r="K1661" s="10"/>
      <c r="L1661" s="10"/>
      <c r="M1661" s="10"/>
      <c r="N1661" s="10"/>
      <c r="O1661" s="3"/>
      <c r="P1661" s="10"/>
    </row>
    <row r="1662" spans="1:16" x14ac:dyDescent="0.15">
      <c r="A1662" s="10"/>
      <c r="B1662" s="3"/>
      <c r="C1662" s="10"/>
      <c r="D1662" s="10"/>
      <c r="E1662" s="10"/>
      <c r="F1662" s="10"/>
      <c r="G1662" s="10"/>
      <c r="H1662" s="10"/>
      <c r="I1662" s="10"/>
      <c r="J1662" s="10"/>
      <c r="K1662" s="10"/>
      <c r="L1662" s="10"/>
      <c r="M1662" s="10"/>
      <c r="N1662" s="10"/>
      <c r="O1662" s="3"/>
      <c r="P1662" s="10"/>
    </row>
    <row r="1663" spans="1:16" x14ac:dyDescent="0.15">
      <c r="A1663" s="10"/>
      <c r="B1663" s="3"/>
      <c r="C1663" s="10"/>
      <c r="D1663" s="10"/>
      <c r="E1663" s="10"/>
      <c r="F1663" s="10"/>
      <c r="G1663" s="10"/>
      <c r="H1663" s="10"/>
      <c r="I1663" s="10"/>
      <c r="J1663" s="10"/>
      <c r="K1663" s="10"/>
      <c r="L1663" s="10"/>
      <c r="M1663" s="10"/>
      <c r="N1663" s="10"/>
      <c r="O1663" s="3"/>
      <c r="P1663" s="10"/>
    </row>
    <row r="1664" spans="1:16" x14ac:dyDescent="0.15">
      <c r="A1664" s="10"/>
      <c r="B1664" s="3"/>
      <c r="C1664" s="10"/>
      <c r="D1664" s="10"/>
      <c r="E1664" s="10"/>
      <c r="F1664" s="10"/>
      <c r="G1664" s="10"/>
      <c r="H1664" s="10"/>
      <c r="I1664" s="10"/>
      <c r="J1664" s="10"/>
      <c r="K1664" s="10"/>
      <c r="L1664" s="10"/>
      <c r="M1664" s="10"/>
      <c r="N1664" s="10"/>
      <c r="O1664" s="3"/>
      <c r="P1664" s="10"/>
    </row>
    <row r="1665" spans="1:16" x14ac:dyDescent="0.15">
      <c r="A1665" s="10"/>
      <c r="B1665" s="3"/>
      <c r="C1665" s="10"/>
      <c r="D1665" s="10"/>
      <c r="E1665" s="10"/>
      <c r="F1665" s="10"/>
      <c r="G1665" s="10"/>
      <c r="H1665" s="10"/>
      <c r="I1665" s="10"/>
      <c r="J1665" s="10"/>
      <c r="K1665" s="10"/>
      <c r="L1665" s="10"/>
      <c r="M1665" s="10"/>
      <c r="N1665" s="10"/>
      <c r="O1665" s="3"/>
      <c r="P1665" s="10"/>
    </row>
    <row r="1666" spans="1:16" x14ac:dyDescent="0.15">
      <c r="A1666" s="10"/>
      <c r="B1666" s="3"/>
      <c r="C1666" s="10"/>
      <c r="D1666" s="10"/>
      <c r="E1666" s="10"/>
      <c r="F1666" s="10"/>
      <c r="G1666" s="10"/>
      <c r="H1666" s="10"/>
      <c r="I1666" s="10"/>
      <c r="J1666" s="10"/>
      <c r="K1666" s="10"/>
      <c r="L1666" s="10"/>
      <c r="M1666" s="10"/>
      <c r="N1666" s="10"/>
      <c r="O1666" s="3"/>
      <c r="P1666" s="10"/>
    </row>
    <row r="1667" spans="1:16" x14ac:dyDescent="0.15">
      <c r="A1667" s="10"/>
      <c r="B1667" s="3"/>
      <c r="C1667" s="10"/>
      <c r="D1667" s="10"/>
      <c r="E1667" s="10"/>
      <c r="F1667" s="10"/>
      <c r="G1667" s="10"/>
      <c r="H1667" s="10"/>
      <c r="I1667" s="10"/>
      <c r="J1667" s="10"/>
      <c r="K1667" s="10"/>
      <c r="L1667" s="10"/>
      <c r="M1667" s="10"/>
      <c r="N1667" s="10"/>
      <c r="O1667" s="3"/>
      <c r="P1667" s="10"/>
    </row>
    <row r="1668" spans="1:16" x14ac:dyDescent="0.15">
      <c r="A1668" s="10"/>
      <c r="B1668" s="3"/>
      <c r="C1668" s="10"/>
      <c r="D1668" s="10"/>
      <c r="E1668" s="10"/>
      <c r="F1668" s="10"/>
      <c r="G1668" s="10"/>
      <c r="H1668" s="10"/>
      <c r="I1668" s="10"/>
      <c r="J1668" s="10"/>
      <c r="K1668" s="10"/>
      <c r="L1668" s="10"/>
      <c r="M1668" s="10"/>
      <c r="N1668" s="10"/>
      <c r="O1668" s="3"/>
      <c r="P1668" s="10"/>
    </row>
    <row r="1669" spans="1:16" x14ac:dyDescent="0.15">
      <c r="A1669" s="10"/>
      <c r="B1669" s="3"/>
      <c r="C1669" s="10"/>
      <c r="D1669" s="10"/>
      <c r="E1669" s="10"/>
      <c r="F1669" s="10"/>
      <c r="G1669" s="10"/>
      <c r="H1669" s="10"/>
      <c r="I1669" s="10"/>
      <c r="J1669" s="10"/>
      <c r="K1669" s="10"/>
      <c r="L1669" s="10"/>
      <c r="M1669" s="10"/>
      <c r="N1669" s="10"/>
      <c r="O1669" s="3"/>
      <c r="P1669" s="10"/>
    </row>
    <row r="1670" spans="1:16" x14ac:dyDescent="0.15">
      <c r="A1670" s="10"/>
      <c r="B1670" s="3"/>
      <c r="C1670" s="10"/>
      <c r="D1670" s="10"/>
      <c r="E1670" s="10"/>
      <c r="F1670" s="10"/>
      <c r="G1670" s="10"/>
      <c r="H1670" s="10"/>
      <c r="I1670" s="10"/>
      <c r="J1670" s="10"/>
      <c r="K1670" s="10"/>
      <c r="L1670" s="10"/>
      <c r="M1670" s="10"/>
      <c r="N1670" s="10"/>
      <c r="O1670" s="3"/>
      <c r="P1670" s="10"/>
    </row>
    <row r="1671" spans="1:16" x14ac:dyDescent="0.15">
      <c r="A1671" s="10"/>
      <c r="B1671" s="3"/>
      <c r="C1671" s="10"/>
      <c r="D1671" s="10"/>
      <c r="E1671" s="10"/>
      <c r="F1671" s="10"/>
      <c r="G1671" s="10"/>
      <c r="H1671" s="10"/>
      <c r="I1671" s="10"/>
      <c r="J1671" s="10"/>
      <c r="K1671" s="10"/>
      <c r="L1671" s="10"/>
      <c r="M1671" s="10"/>
      <c r="N1671" s="10"/>
      <c r="O1671" s="3"/>
      <c r="P1671" s="10"/>
    </row>
    <row r="1672" spans="1:16" x14ac:dyDescent="0.15">
      <c r="A1672" s="10"/>
      <c r="B1672" s="3"/>
      <c r="C1672" s="10"/>
      <c r="D1672" s="10"/>
      <c r="E1672" s="10"/>
      <c r="F1672" s="10"/>
      <c r="G1672" s="10"/>
      <c r="H1672" s="10"/>
      <c r="I1672" s="10"/>
      <c r="J1672" s="10"/>
      <c r="K1672" s="10"/>
      <c r="L1672" s="10"/>
      <c r="M1672" s="10"/>
      <c r="N1672" s="10"/>
      <c r="O1672" s="3"/>
      <c r="P1672" s="10"/>
    </row>
    <row r="1673" spans="1:16" x14ac:dyDescent="0.15">
      <c r="A1673" s="10"/>
      <c r="B1673" s="3"/>
      <c r="C1673" s="10"/>
      <c r="D1673" s="10"/>
      <c r="E1673" s="10"/>
      <c r="F1673" s="10"/>
      <c r="G1673" s="10"/>
      <c r="H1673" s="10"/>
      <c r="I1673" s="10"/>
      <c r="J1673" s="10"/>
      <c r="K1673" s="10"/>
      <c r="L1673" s="10"/>
      <c r="M1673" s="10"/>
      <c r="N1673" s="10"/>
      <c r="O1673" s="3"/>
      <c r="P1673" s="10"/>
    </row>
    <row r="1674" spans="1:16" x14ac:dyDescent="0.15">
      <c r="A1674" s="10"/>
      <c r="B1674" s="3"/>
      <c r="C1674" s="10"/>
      <c r="D1674" s="10"/>
      <c r="E1674" s="10"/>
      <c r="F1674" s="10"/>
      <c r="G1674" s="10"/>
      <c r="H1674" s="10"/>
      <c r="I1674" s="10"/>
      <c r="J1674" s="10"/>
      <c r="K1674" s="10"/>
      <c r="L1674" s="10"/>
      <c r="M1674" s="10"/>
      <c r="N1674" s="10"/>
      <c r="O1674" s="3"/>
      <c r="P1674" s="10"/>
    </row>
    <row r="1675" spans="1:16" x14ac:dyDescent="0.15">
      <c r="A1675" s="10"/>
      <c r="B1675" s="3"/>
      <c r="C1675" s="10"/>
      <c r="D1675" s="10"/>
      <c r="E1675" s="10"/>
      <c r="F1675" s="10"/>
      <c r="G1675" s="10"/>
      <c r="H1675" s="10"/>
      <c r="I1675" s="10"/>
      <c r="J1675" s="10"/>
      <c r="K1675" s="10"/>
      <c r="L1675" s="10"/>
      <c r="M1675" s="10"/>
      <c r="N1675" s="10"/>
      <c r="O1675" s="3"/>
      <c r="P1675" s="10"/>
    </row>
    <row r="1676" spans="1:16" x14ac:dyDescent="0.15">
      <c r="A1676" s="10"/>
      <c r="B1676" s="3"/>
      <c r="C1676" s="10"/>
      <c r="D1676" s="10"/>
      <c r="E1676" s="10"/>
      <c r="F1676" s="10"/>
      <c r="G1676" s="10"/>
      <c r="H1676" s="10"/>
      <c r="I1676" s="10"/>
      <c r="J1676" s="10"/>
      <c r="K1676" s="10"/>
      <c r="L1676" s="10"/>
      <c r="M1676" s="10"/>
      <c r="N1676" s="10"/>
      <c r="O1676" s="3"/>
      <c r="P1676" s="10"/>
    </row>
    <row r="1677" spans="1:16" x14ac:dyDescent="0.15">
      <c r="A1677" s="10"/>
      <c r="B1677" s="3"/>
      <c r="C1677" s="10"/>
      <c r="D1677" s="10"/>
      <c r="E1677" s="10"/>
      <c r="F1677" s="10"/>
      <c r="G1677" s="10"/>
      <c r="H1677" s="10"/>
      <c r="I1677" s="10"/>
      <c r="J1677" s="10"/>
      <c r="K1677" s="10"/>
      <c r="L1677" s="10"/>
      <c r="M1677" s="10"/>
      <c r="N1677" s="10"/>
      <c r="O1677" s="3"/>
      <c r="P1677" s="10"/>
    </row>
    <row r="1678" spans="1:16" x14ac:dyDescent="0.15">
      <c r="A1678" s="10"/>
      <c r="B1678" s="3"/>
      <c r="C1678" s="10"/>
      <c r="D1678" s="10"/>
      <c r="E1678" s="10"/>
      <c r="F1678" s="10"/>
      <c r="G1678" s="10"/>
      <c r="H1678" s="10"/>
      <c r="I1678" s="10"/>
      <c r="J1678" s="10"/>
      <c r="K1678" s="10"/>
      <c r="L1678" s="10"/>
      <c r="M1678" s="10"/>
      <c r="N1678" s="10"/>
      <c r="O1678" s="3"/>
      <c r="P1678" s="10"/>
    </row>
    <row r="1679" spans="1:16" x14ac:dyDescent="0.15">
      <c r="A1679" s="10"/>
      <c r="B1679" s="3"/>
      <c r="C1679" s="10"/>
      <c r="D1679" s="10"/>
      <c r="E1679" s="10"/>
      <c r="F1679" s="10"/>
      <c r="G1679" s="10"/>
      <c r="H1679" s="10"/>
      <c r="I1679" s="10"/>
      <c r="J1679" s="10"/>
      <c r="K1679" s="10"/>
      <c r="L1679" s="10"/>
      <c r="M1679" s="10"/>
      <c r="N1679" s="10"/>
      <c r="O1679" s="3"/>
      <c r="P1679" s="10"/>
    </row>
    <row r="1680" spans="1:16" x14ac:dyDescent="0.15">
      <c r="A1680" s="10"/>
      <c r="B1680" s="3"/>
      <c r="C1680" s="10"/>
      <c r="D1680" s="10"/>
      <c r="E1680" s="10"/>
      <c r="F1680" s="10"/>
      <c r="G1680" s="10"/>
      <c r="H1680" s="10"/>
      <c r="I1680" s="10"/>
      <c r="J1680" s="10"/>
      <c r="K1680" s="10"/>
      <c r="L1680" s="10"/>
      <c r="M1680" s="10"/>
      <c r="N1680" s="10"/>
      <c r="O1680" s="3"/>
      <c r="P1680" s="10"/>
    </row>
    <row r="1681" spans="1:16" x14ac:dyDescent="0.15">
      <c r="A1681" s="10"/>
      <c r="B1681" s="3"/>
      <c r="C1681" s="10"/>
      <c r="D1681" s="10"/>
      <c r="E1681" s="10"/>
      <c r="F1681" s="10"/>
      <c r="G1681" s="10"/>
      <c r="H1681" s="10"/>
      <c r="I1681" s="10"/>
      <c r="J1681" s="10"/>
      <c r="K1681" s="10"/>
      <c r="L1681" s="10"/>
      <c r="M1681" s="10"/>
      <c r="N1681" s="10"/>
      <c r="O1681" s="3"/>
      <c r="P1681" s="10"/>
    </row>
    <row r="1682" spans="1:16" x14ac:dyDescent="0.15">
      <c r="A1682" s="10"/>
      <c r="B1682" s="3"/>
      <c r="C1682" s="10"/>
      <c r="D1682" s="10"/>
      <c r="E1682" s="10"/>
      <c r="F1682" s="10"/>
      <c r="G1682" s="10"/>
      <c r="H1682" s="10"/>
      <c r="I1682" s="10"/>
      <c r="J1682" s="10"/>
      <c r="K1682" s="10"/>
      <c r="L1682" s="10"/>
      <c r="M1682" s="10"/>
      <c r="N1682" s="10"/>
      <c r="O1682" s="3"/>
      <c r="P1682" s="10"/>
    </row>
    <row r="1683" spans="1:16" x14ac:dyDescent="0.15">
      <c r="A1683" s="10"/>
      <c r="B1683" s="3"/>
      <c r="C1683" s="10"/>
      <c r="D1683" s="10"/>
      <c r="E1683" s="10"/>
      <c r="F1683" s="10"/>
      <c r="G1683" s="10"/>
      <c r="H1683" s="10"/>
      <c r="I1683" s="10"/>
      <c r="J1683" s="10"/>
      <c r="K1683" s="10"/>
      <c r="L1683" s="10"/>
      <c r="M1683" s="10"/>
      <c r="N1683" s="10"/>
      <c r="O1683" s="3"/>
      <c r="P1683" s="10"/>
    </row>
    <row r="1684" spans="1:16" x14ac:dyDescent="0.15">
      <c r="A1684" s="10"/>
      <c r="B1684" s="3"/>
      <c r="C1684" s="10"/>
      <c r="D1684" s="10"/>
      <c r="E1684" s="10"/>
      <c r="F1684" s="10"/>
      <c r="G1684" s="10"/>
      <c r="H1684" s="10"/>
      <c r="I1684" s="10"/>
      <c r="J1684" s="10"/>
      <c r="K1684" s="10"/>
      <c r="L1684" s="10"/>
      <c r="M1684" s="10"/>
      <c r="N1684" s="10"/>
      <c r="O1684" s="3"/>
      <c r="P1684" s="10"/>
    </row>
    <row r="1685" spans="1:16" x14ac:dyDescent="0.15">
      <c r="A1685" s="10"/>
      <c r="B1685" s="3"/>
      <c r="C1685" s="10"/>
      <c r="D1685" s="10"/>
      <c r="E1685" s="10"/>
      <c r="F1685" s="10"/>
      <c r="G1685" s="10"/>
      <c r="H1685" s="10"/>
      <c r="I1685" s="10"/>
      <c r="J1685" s="10"/>
      <c r="K1685" s="10"/>
      <c r="L1685" s="10"/>
      <c r="M1685" s="10"/>
      <c r="N1685" s="10"/>
      <c r="O1685" s="3"/>
      <c r="P1685" s="10"/>
    </row>
    <row r="1686" spans="1:16" x14ac:dyDescent="0.15">
      <c r="A1686" s="10"/>
      <c r="B1686" s="3"/>
      <c r="C1686" s="10"/>
      <c r="D1686" s="10"/>
      <c r="E1686" s="10"/>
      <c r="F1686" s="10"/>
      <c r="G1686" s="10"/>
      <c r="H1686" s="10"/>
      <c r="I1686" s="10"/>
      <c r="J1686" s="10"/>
      <c r="K1686" s="10"/>
      <c r="L1686" s="10"/>
      <c r="M1686" s="10"/>
      <c r="N1686" s="10"/>
      <c r="O1686" s="3"/>
      <c r="P1686" s="10"/>
    </row>
    <row r="1687" spans="1:16" x14ac:dyDescent="0.15">
      <c r="A1687" s="10"/>
      <c r="B1687" s="3"/>
      <c r="C1687" s="10"/>
      <c r="D1687" s="10"/>
      <c r="E1687" s="10"/>
      <c r="F1687" s="10"/>
      <c r="G1687" s="10"/>
      <c r="H1687" s="10"/>
      <c r="I1687" s="10"/>
      <c r="J1687" s="10"/>
      <c r="K1687" s="10"/>
      <c r="L1687" s="10"/>
      <c r="M1687" s="10"/>
      <c r="N1687" s="10"/>
      <c r="O1687" s="3"/>
      <c r="P1687" s="10"/>
    </row>
    <row r="1688" spans="1:16" x14ac:dyDescent="0.15">
      <c r="A1688" s="10"/>
      <c r="B1688" s="3"/>
      <c r="C1688" s="10"/>
      <c r="D1688" s="10"/>
      <c r="E1688" s="10"/>
      <c r="F1688" s="10"/>
      <c r="G1688" s="10"/>
      <c r="H1688" s="10"/>
      <c r="I1688" s="10"/>
      <c r="J1688" s="10"/>
      <c r="K1688" s="10"/>
      <c r="L1688" s="10"/>
      <c r="M1688" s="10"/>
      <c r="N1688" s="10"/>
      <c r="O1688" s="3"/>
      <c r="P1688" s="10"/>
    </row>
    <row r="1689" spans="1:16" x14ac:dyDescent="0.15">
      <c r="A1689" s="10"/>
      <c r="B1689" s="3"/>
      <c r="C1689" s="10"/>
      <c r="D1689" s="10"/>
      <c r="E1689" s="10"/>
      <c r="F1689" s="10"/>
      <c r="G1689" s="10"/>
      <c r="H1689" s="10"/>
      <c r="I1689" s="10"/>
      <c r="J1689" s="10"/>
      <c r="K1689" s="10"/>
      <c r="L1689" s="10"/>
      <c r="M1689" s="10"/>
      <c r="N1689" s="10"/>
      <c r="O1689" s="3"/>
      <c r="P1689" s="10"/>
    </row>
    <row r="1690" spans="1:16" x14ac:dyDescent="0.15">
      <c r="A1690" s="10"/>
      <c r="B1690" s="3"/>
      <c r="C1690" s="10"/>
      <c r="D1690" s="10"/>
      <c r="E1690" s="10"/>
      <c r="F1690" s="10"/>
      <c r="G1690" s="10"/>
      <c r="H1690" s="10"/>
      <c r="I1690" s="10"/>
      <c r="J1690" s="10"/>
      <c r="K1690" s="10"/>
      <c r="L1690" s="10"/>
      <c r="M1690" s="10"/>
      <c r="N1690" s="10"/>
      <c r="O1690" s="3"/>
      <c r="P1690" s="10"/>
    </row>
    <row r="1691" spans="1:16" x14ac:dyDescent="0.15">
      <c r="A1691" s="10"/>
      <c r="B1691" s="3"/>
      <c r="C1691" s="10"/>
      <c r="D1691" s="10"/>
      <c r="E1691" s="10"/>
      <c r="F1691" s="10"/>
      <c r="G1691" s="10"/>
      <c r="H1691" s="10"/>
      <c r="I1691" s="10"/>
      <c r="J1691" s="10"/>
      <c r="K1691" s="10"/>
      <c r="L1691" s="10"/>
      <c r="M1691" s="10"/>
      <c r="N1691" s="10"/>
      <c r="O1691" s="3"/>
      <c r="P1691" s="10"/>
    </row>
    <row r="1692" spans="1:16" x14ac:dyDescent="0.15">
      <c r="A1692" s="10"/>
      <c r="B1692" s="3"/>
      <c r="C1692" s="10"/>
      <c r="D1692" s="10"/>
      <c r="E1692" s="10"/>
      <c r="F1692" s="10"/>
      <c r="G1692" s="10"/>
      <c r="H1692" s="10"/>
      <c r="I1692" s="10"/>
      <c r="J1692" s="10"/>
      <c r="K1692" s="10"/>
      <c r="L1692" s="10"/>
      <c r="M1692" s="10"/>
      <c r="N1692" s="10"/>
      <c r="O1692" s="3"/>
      <c r="P1692" s="10"/>
    </row>
    <row r="1693" spans="1:16" x14ac:dyDescent="0.15">
      <c r="A1693" s="10"/>
      <c r="B1693" s="3"/>
      <c r="C1693" s="10"/>
      <c r="D1693" s="10"/>
      <c r="E1693" s="10"/>
      <c r="F1693" s="10"/>
      <c r="G1693" s="10"/>
      <c r="H1693" s="10"/>
      <c r="I1693" s="10"/>
      <c r="J1693" s="10"/>
      <c r="K1693" s="10"/>
      <c r="L1693" s="10"/>
      <c r="M1693" s="10"/>
      <c r="N1693" s="10"/>
      <c r="O1693" s="3"/>
      <c r="P1693" s="10"/>
    </row>
    <row r="1694" spans="1:16" x14ac:dyDescent="0.15">
      <c r="A1694" s="10"/>
      <c r="B1694" s="3"/>
      <c r="C1694" s="10"/>
      <c r="D1694" s="10"/>
      <c r="E1694" s="10"/>
      <c r="F1694" s="10"/>
      <c r="G1694" s="10"/>
      <c r="H1694" s="10"/>
      <c r="I1694" s="10"/>
      <c r="J1694" s="10"/>
      <c r="K1694" s="10"/>
      <c r="L1694" s="10"/>
      <c r="M1694" s="10"/>
      <c r="N1694" s="10"/>
      <c r="O1694" s="3"/>
      <c r="P1694" s="10"/>
    </row>
    <row r="1695" spans="1:16" x14ac:dyDescent="0.15">
      <c r="A1695" s="10"/>
      <c r="B1695" s="3"/>
      <c r="C1695" s="10"/>
      <c r="D1695" s="10"/>
      <c r="E1695" s="10"/>
      <c r="F1695" s="10"/>
      <c r="G1695" s="10"/>
      <c r="H1695" s="10"/>
      <c r="I1695" s="10"/>
      <c r="J1695" s="10"/>
      <c r="K1695" s="10"/>
      <c r="L1695" s="10"/>
      <c r="M1695" s="10"/>
      <c r="N1695" s="10"/>
      <c r="O1695" s="3"/>
      <c r="P1695" s="10"/>
    </row>
    <row r="1696" spans="1:16" x14ac:dyDescent="0.15">
      <c r="A1696" s="10"/>
      <c r="B1696" s="3"/>
      <c r="C1696" s="10"/>
      <c r="D1696" s="10"/>
      <c r="E1696" s="10"/>
      <c r="F1696" s="10"/>
      <c r="G1696" s="10"/>
      <c r="H1696" s="10"/>
      <c r="I1696" s="10"/>
      <c r="J1696" s="10"/>
      <c r="K1696" s="10"/>
      <c r="L1696" s="10"/>
      <c r="M1696" s="10"/>
      <c r="N1696" s="10"/>
      <c r="O1696" s="3"/>
      <c r="P1696" s="10"/>
    </row>
    <row r="1697" spans="1:16" x14ac:dyDescent="0.15">
      <c r="A1697" s="10"/>
      <c r="B1697" s="3"/>
      <c r="C1697" s="10"/>
      <c r="D1697" s="10"/>
      <c r="E1697" s="10"/>
      <c r="F1697" s="10"/>
      <c r="G1697" s="10"/>
      <c r="H1697" s="10"/>
      <c r="I1697" s="10"/>
      <c r="J1697" s="10"/>
      <c r="K1697" s="10"/>
      <c r="L1697" s="10"/>
      <c r="M1697" s="10"/>
      <c r="N1697" s="10"/>
      <c r="O1697" s="3"/>
      <c r="P1697" s="10"/>
    </row>
    <row r="1698" spans="1:16" x14ac:dyDescent="0.15">
      <c r="A1698" s="10"/>
      <c r="B1698" s="3"/>
      <c r="C1698" s="10"/>
      <c r="D1698" s="10"/>
      <c r="E1698" s="10"/>
      <c r="F1698" s="10"/>
      <c r="G1698" s="10"/>
      <c r="H1698" s="10"/>
      <c r="I1698" s="10"/>
      <c r="J1698" s="10"/>
      <c r="K1698" s="10"/>
      <c r="L1698" s="10"/>
      <c r="M1698" s="10"/>
      <c r="N1698" s="10"/>
      <c r="O1698" s="3"/>
      <c r="P1698" s="10"/>
    </row>
    <row r="1699" spans="1:16" x14ac:dyDescent="0.15">
      <c r="A1699" s="10"/>
      <c r="B1699" s="3"/>
      <c r="C1699" s="10"/>
      <c r="D1699" s="10"/>
      <c r="E1699" s="10"/>
      <c r="F1699" s="10"/>
      <c r="G1699" s="10"/>
      <c r="H1699" s="10"/>
      <c r="I1699" s="10"/>
      <c r="J1699" s="10"/>
      <c r="K1699" s="10"/>
      <c r="L1699" s="10"/>
      <c r="M1699" s="10"/>
      <c r="N1699" s="10"/>
      <c r="O1699" s="3"/>
      <c r="P1699" s="10"/>
    </row>
    <row r="1700" spans="1:16" x14ac:dyDescent="0.15">
      <c r="A1700" s="10"/>
      <c r="B1700" s="3"/>
      <c r="C1700" s="10"/>
      <c r="D1700" s="10"/>
      <c r="E1700" s="10"/>
      <c r="F1700" s="10"/>
      <c r="G1700" s="10"/>
      <c r="H1700" s="10"/>
      <c r="I1700" s="10"/>
      <c r="J1700" s="10"/>
      <c r="K1700" s="10"/>
      <c r="L1700" s="10"/>
      <c r="M1700" s="10"/>
      <c r="N1700" s="10"/>
      <c r="O1700" s="3"/>
      <c r="P1700" s="10"/>
    </row>
    <row r="1701" spans="1:16" x14ac:dyDescent="0.15">
      <c r="A1701" s="10"/>
      <c r="B1701" s="3"/>
      <c r="C1701" s="10"/>
      <c r="D1701" s="10"/>
      <c r="E1701" s="10"/>
      <c r="F1701" s="10"/>
      <c r="G1701" s="10"/>
      <c r="H1701" s="10"/>
      <c r="I1701" s="10"/>
      <c r="J1701" s="10"/>
      <c r="K1701" s="10"/>
      <c r="L1701" s="10"/>
      <c r="M1701" s="10"/>
      <c r="N1701" s="10"/>
      <c r="O1701" s="3"/>
      <c r="P1701" s="10"/>
    </row>
    <row r="1702" spans="1:16" x14ac:dyDescent="0.15">
      <c r="A1702" s="10"/>
      <c r="B1702" s="3"/>
      <c r="C1702" s="10"/>
      <c r="D1702" s="10"/>
      <c r="E1702" s="10"/>
      <c r="F1702" s="10"/>
      <c r="G1702" s="10"/>
      <c r="H1702" s="10"/>
      <c r="I1702" s="10"/>
      <c r="J1702" s="10"/>
      <c r="K1702" s="10"/>
      <c r="L1702" s="10"/>
      <c r="M1702" s="10"/>
      <c r="N1702" s="10"/>
      <c r="O1702" s="3"/>
      <c r="P1702" s="10"/>
    </row>
    <row r="1703" spans="1:16" x14ac:dyDescent="0.15">
      <c r="A1703" s="10"/>
      <c r="B1703" s="3"/>
      <c r="C1703" s="10"/>
      <c r="D1703" s="10"/>
      <c r="E1703" s="10"/>
      <c r="F1703" s="10"/>
      <c r="G1703" s="10"/>
      <c r="H1703" s="10"/>
      <c r="I1703" s="10"/>
      <c r="J1703" s="10"/>
      <c r="K1703" s="10"/>
      <c r="L1703" s="10"/>
      <c r="M1703" s="10"/>
      <c r="N1703" s="10"/>
      <c r="O1703" s="3"/>
      <c r="P1703" s="10"/>
    </row>
    <row r="1704" spans="1:16" x14ac:dyDescent="0.15">
      <c r="A1704" s="10"/>
      <c r="B1704" s="3"/>
      <c r="C1704" s="10"/>
      <c r="D1704" s="10"/>
      <c r="E1704" s="10"/>
      <c r="F1704" s="10"/>
      <c r="G1704" s="10"/>
      <c r="H1704" s="10"/>
      <c r="I1704" s="10"/>
      <c r="J1704" s="10"/>
      <c r="K1704" s="10"/>
      <c r="L1704" s="10"/>
      <c r="M1704" s="10"/>
      <c r="N1704" s="10"/>
      <c r="O1704" s="3"/>
      <c r="P1704" s="10"/>
    </row>
    <row r="1705" spans="1:16" x14ac:dyDescent="0.15">
      <c r="A1705" s="10"/>
      <c r="B1705" s="3"/>
      <c r="C1705" s="10"/>
      <c r="D1705" s="10"/>
      <c r="E1705" s="10"/>
      <c r="F1705" s="10"/>
      <c r="G1705" s="10"/>
      <c r="H1705" s="10"/>
      <c r="I1705" s="10"/>
      <c r="J1705" s="10"/>
      <c r="K1705" s="10"/>
      <c r="L1705" s="10"/>
      <c r="M1705" s="10"/>
      <c r="N1705" s="10"/>
      <c r="O1705" s="3"/>
      <c r="P1705" s="10"/>
    </row>
    <row r="1706" spans="1:16" x14ac:dyDescent="0.15">
      <c r="A1706" s="10"/>
      <c r="B1706" s="3"/>
      <c r="C1706" s="10"/>
      <c r="D1706" s="10"/>
      <c r="E1706" s="10"/>
      <c r="F1706" s="10"/>
      <c r="G1706" s="10"/>
      <c r="H1706" s="10"/>
      <c r="I1706" s="10"/>
      <c r="J1706" s="10"/>
      <c r="K1706" s="10"/>
      <c r="L1706" s="10"/>
      <c r="M1706" s="10"/>
      <c r="N1706" s="10"/>
      <c r="O1706" s="3"/>
      <c r="P1706" s="10"/>
    </row>
    <row r="1707" spans="1:16" x14ac:dyDescent="0.15">
      <c r="A1707" s="10"/>
      <c r="B1707" s="3"/>
      <c r="C1707" s="10"/>
      <c r="D1707" s="10"/>
      <c r="E1707" s="10"/>
      <c r="F1707" s="10"/>
      <c r="G1707" s="10"/>
      <c r="H1707" s="10"/>
      <c r="I1707" s="10"/>
      <c r="J1707" s="10"/>
      <c r="K1707" s="10"/>
      <c r="L1707" s="10"/>
      <c r="M1707" s="10"/>
      <c r="N1707" s="10"/>
      <c r="O1707" s="3"/>
      <c r="P1707" s="10"/>
    </row>
    <row r="1708" spans="1:16" x14ac:dyDescent="0.15">
      <c r="A1708" s="10"/>
      <c r="B1708" s="3"/>
      <c r="C1708" s="10"/>
      <c r="D1708" s="10"/>
      <c r="E1708" s="10"/>
      <c r="F1708" s="10"/>
      <c r="G1708" s="10"/>
      <c r="H1708" s="10"/>
      <c r="I1708" s="10"/>
      <c r="J1708" s="10"/>
      <c r="K1708" s="10"/>
      <c r="L1708" s="10"/>
      <c r="M1708" s="10"/>
      <c r="N1708" s="10"/>
      <c r="O1708" s="3"/>
      <c r="P1708" s="10"/>
    </row>
    <row r="1709" spans="1:16" x14ac:dyDescent="0.15">
      <c r="A1709" s="10"/>
      <c r="B1709" s="3"/>
      <c r="C1709" s="10"/>
      <c r="D1709" s="10"/>
      <c r="E1709" s="10"/>
      <c r="F1709" s="10"/>
      <c r="G1709" s="10"/>
      <c r="H1709" s="10"/>
      <c r="I1709" s="10"/>
      <c r="J1709" s="10"/>
      <c r="K1709" s="10"/>
      <c r="L1709" s="10"/>
      <c r="M1709" s="10"/>
      <c r="N1709" s="10"/>
      <c r="O1709" s="3"/>
      <c r="P1709" s="10"/>
    </row>
    <row r="1710" spans="1:16" x14ac:dyDescent="0.15">
      <c r="A1710" s="10"/>
      <c r="B1710" s="3"/>
      <c r="C1710" s="10"/>
      <c r="D1710" s="10"/>
      <c r="E1710" s="10"/>
      <c r="F1710" s="10"/>
      <c r="G1710" s="10"/>
      <c r="H1710" s="10"/>
      <c r="I1710" s="10"/>
      <c r="J1710" s="10"/>
      <c r="K1710" s="10"/>
      <c r="L1710" s="10"/>
      <c r="M1710" s="10"/>
      <c r="N1710" s="10"/>
      <c r="O1710" s="3"/>
      <c r="P1710" s="10"/>
    </row>
    <row r="1711" spans="1:16" x14ac:dyDescent="0.15">
      <c r="A1711" s="10"/>
      <c r="B1711" s="3"/>
      <c r="C1711" s="10"/>
      <c r="D1711" s="10"/>
      <c r="E1711" s="10"/>
      <c r="F1711" s="10"/>
      <c r="G1711" s="10"/>
      <c r="H1711" s="10"/>
      <c r="I1711" s="10"/>
      <c r="J1711" s="10"/>
      <c r="K1711" s="10"/>
      <c r="L1711" s="10"/>
      <c r="M1711" s="10"/>
      <c r="N1711" s="10"/>
      <c r="O1711" s="3"/>
      <c r="P1711" s="10"/>
    </row>
    <row r="1712" spans="1:16" x14ac:dyDescent="0.15">
      <c r="A1712" s="10"/>
      <c r="B1712" s="3"/>
      <c r="C1712" s="10"/>
      <c r="D1712" s="10"/>
      <c r="E1712" s="10"/>
      <c r="F1712" s="10"/>
      <c r="G1712" s="10"/>
      <c r="H1712" s="10"/>
      <c r="I1712" s="10"/>
      <c r="J1712" s="10"/>
      <c r="K1712" s="10"/>
      <c r="L1712" s="10"/>
      <c r="M1712" s="10"/>
      <c r="N1712" s="10"/>
      <c r="O1712" s="3"/>
      <c r="P1712" s="10"/>
    </row>
    <row r="1713" spans="1:16" x14ac:dyDescent="0.15">
      <c r="A1713" s="10"/>
      <c r="B1713" s="3"/>
      <c r="C1713" s="10"/>
      <c r="D1713" s="10"/>
      <c r="E1713" s="10"/>
      <c r="F1713" s="10"/>
      <c r="G1713" s="10"/>
      <c r="H1713" s="10"/>
      <c r="I1713" s="10"/>
      <c r="J1713" s="10"/>
      <c r="K1713" s="10"/>
      <c r="L1713" s="10"/>
      <c r="M1713" s="10"/>
      <c r="N1713" s="10"/>
      <c r="O1713" s="3"/>
      <c r="P1713" s="10"/>
    </row>
    <row r="1714" spans="1:16" x14ac:dyDescent="0.15">
      <c r="A1714" s="10"/>
      <c r="B1714" s="3"/>
      <c r="C1714" s="10"/>
      <c r="D1714" s="10"/>
      <c r="E1714" s="10"/>
      <c r="F1714" s="10"/>
      <c r="G1714" s="10"/>
      <c r="H1714" s="10"/>
      <c r="I1714" s="10"/>
      <c r="J1714" s="10"/>
      <c r="K1714" s="10"/>
      <c r="L1714" s="10"/>
      <c r="M1714" s="10"/>
      <c r="N1714" s="10"/>
      <c r="O1714" s="3"/>
      <c r="P1714" s="10"/>
    </row>
    <row r="1715" spans="1:16" x14ac:dyDescent="0.15">
      <c r="A1715" s="10"/>
      <c r="B1715" s="3"/>
      <c r="C1715" s="10"/>
      <c r="D1715" s="10"/>
      <c r="E1715" s="10"/>
      <c r="F1715" s="10"/>
      <c r="G1715" s="10"/>
      <c r="H1715" s="10"/>
      <c r="I1715" s="10"/>
      <c r="J1715" s="10"/>
      <c r="K1715" s="10"/>
      <c r="L1715" s="10"/>
      <c r="M1715" s="10"/>
      <c r="N1715" s="10"/>
      <c r="O1715" s="3"/>
      <c r="P1715" s="10"/>
    </row>
    <row r="1716" spans="1:16" x14ac:dyDescent="0.15">
      <c r="A1716" s="10"/>
      <c r="B1716" s="3"/>
      <c r="C1716" s="10"/>
      <c r="D1716" s="10"/>
      <c r="E1716" s="10"/>
      <c r="F1716" s="10"/>
      <c r="G1716" s="10"/>
      <c r="H1716" s="10"/>
      <c r="I1716" s="10"/>
      <c r="J1716" s="10"/>
      <c r="K1716" s="10"/>
      <c r="L1716" s="10"/>
      <c r="M1716" s="10"/>
      <c r="N1716" s="10"/>
      <c r="O1716" s="3"/>
      <c r="P1716" s="10"/>
    </row>
    <row r="1717" spans="1:16" x14ac:dyDescent="0.15">
      <c r="A1717" s="10"/>
      <c r="B1717" s="3"/>
      <c r="C1717" s="10"/>
      <c r="D1717" s="10"/>
      <c r="E1717" s="10"/>
      <c r="F1717" s="10"/>
      <c r="G1717" s="10"/>
      <c r="H1717" s="10"/>
      <c r="I1717" s="10"/>
      <c r="J1717" s="10"/>
      <c r="K1717" s="10"/>
      <c r="L1717" s="10"/>
      <c r="M1717" s="10"/>
      <c r="N1717" s="10"/>
      <c r="O1717" s="3"/>
      <c r="P1717" s="10"/>
    </row>
    <row r="1718" spans="1:16" x14ac:dyDescent="0.15">
      <c r="A1718" s="10"/>
      <c r="B1718" s="3"/>
      <c r="C1718" s="10"/>
      <c r="D1718" s="10"/>
      <c r="E1718" s="10"/>
      <c r="F1718" s="10"/>
      <c r="G1718" s="10"/>
      <c r="H1718" s="10"/>
      <c r="I1718" s="10"/>
      <c r="J1718" s="10"/>
      <c r="K1718" s="10"/>
      <c r="L1718" s="10"/>
      <c r="M1718" s="10"/>
      <c r="N1718" s="10"/>
      <c r="O1718" s="3"/>
      <c r="P1718" s="10"/>
    </row>
    <row r="1719" spans="1:16" x14ac:dyDescent="0.15">
      <c r="A1719" s="10"/>
      <c r="B1719" s="3"/>
      <c r="C1719" s="10"/>
      <c r="D1719" s="10"/>
      <c r="E1719" s="10"/>
      <c r="F1719" s="10"/>
      <c r="G1719" s="10"/>
      <c r="H1719" s="10"/>
      <c r="I1719" s="10"/>
      <c r="J1719" s="10"/>
      <c r="K1719" s="10"/>
      <c r="L1719" s="10"/>
      <c r="M1719" s="10"/>
      <c r="N1719" s="10"/>
      <c r="O1719" s="3"/>
      <c r="P1719" s="10"/>
    </row>
    <row r="1720" spans="1:16" x14ac:dyDescent="0.15">
      <c r="A1720" s="10"/>
      <c r="B1720" s="3"/>
      <c r="C1720" s="10"/>
      <c r="D1720" s="10"/>
      <c r="E1720" s="10"/>
      <c r="F1720" s="10"/>
      <c r="G1720" s="10"/>
      <c r="H1720" s="10"/>
      <c r="I1720" s="10"/>
      <c r="J1720" s="10"/>
      <c r="K1720" s="10"/>
      <c r="L1720" s="10"/>
      <c r="M1720" s="10"/>
      <c r="N1720" s="10"/>
      <c r="O1720" s="3"/>
      <c r="P1720" s="10"/>
    </row>
    <row r="1721" spans="1:16" x14ac:dyDescent="0.15">
      <c r="A1721" s="10"/>
      <c r="B1721" s="3"/>
      <c r="C1721" s="10"/>
      <c r="D1721" s="10"/>
      <c r="E1721" s="10"/>
      <c r="F1721" s="10"/>
      <c r="G1721" s="10"/>
      <c r="H1721" s="10"/>
      <c r="I1721" s="10"/>
      <c r="J1721" s="10"/>
      <c r="K1721" s="10"/>
      <c r="L1721" s="10"/>
      <c r="M1721" s="10"/>
      <c r="N1721" s="10"/>
      <c r="O1721" s="3"/>
      <c r="P1721" s="10"/>
    </row>
    <row r="1722" spans="1:16" x14ac:dyDescent="0.15">
      <c r="A1722" s="10"/>
      <c r="B1722" s="3"/>
      <c r="C1722" s="10"/>
      <c r="D1722" s="10"/>
      <c r="E1722" s="10"/>
      <c r="F1722" s="10"/>
      <c r="G1722" s="10"/>
      <c r="H1722" s="10"/>
      <c r="I1722" s="10"/>
      <c r="J1722" s="10"/>
      <c r="K1722" s="10"/>
      <c r="L1722" s="10"/>
      <c r="M1722" s="10"/>
      <c r="N1722" s="10"/>
      <c r="O1722" s="3"/>
      <c r="P1722" s="10"/>
    </row>
    <row r="1723" spans="1:16" x14ac:dyDescent="0.15">
      <c r="A1723" s="10"/>
      <c r="B1723" s="3"/>
      <c r="C1723" s="10"/>
      <c r="D1723" s="10"/>
      <c r="E1723" s="10"/>
      <c r="F1723" s="10"/>
      <c r="G1723" s="10"/>
      <c r="H1723" s="10"/>
      <c r="I1723" s="10"/>
      <c r="J1723" s="10"/>
      <c r="K1723" s="10"/>
      <c r="L1723" s="10"/>
      <c r="M1723" s="10"/>
      <c r="N1723" s="10"/>
      <c r="O1723" s="3"/>
      <c r="P1723" s="10"/>
    </row>
    <row r="1724" spans="1:16" x14ac:dyDescent="0.15">
      <c r="A1724" s="10"/>
      <c r="B1724" s="3"/>
      <c r="C1724" s="10"/>
      <c r="D1724" s="10"/>
      <c r="E1724" s="10"/>
      <c r="F1724" s="10"/>
      <c r="G1724" s="10"/>
      <c r="H1724" s="10"/>
      <c r="I1724" s="10"/>
      <c r="J1724" s="10"/>
      <c r="K1724" s="10"/>
      <c r="L1724" s="10"/>
      <c r="M1724" s="10"/>
      <c r="N1724" s="10"/>
      <c r="O1724" s="3"/>
      <c r="P1724" s="10"/>
    </row>
    <row r="1725" spans="1:16" x14ac:dyDescent="0.15">
      <c r="A1725" s="10"/>
      <c r="B1725" s="3"/>
      <c r="C1725" s="10"/>
      <c r="D1725" s="10"/>
      <c r="E1725" s="10"/>
      <c r="F1725" s="10"/>
      <c r="G1725" s="10"/>
      <c r="H1725" s="10"/>
      <c r="I1725" s="10"/>
      <c r="J1725" s="10"/>
      <c r="K1725" s="10"/>
      <c r="L1725" s="10"/>
      <c r="M1725" s="10"/>
      <c r="N1725" s="10"/>
      <c r="O1725" s="3"/>
      <c r="P1725" s="10"/>
    </row>
    <row r="1726" spans="1:16" x14ac:dyDescent="0.15">
      <c r="A1726" s="10"/>
      <c r="B1726" s="3"/>
      <c r="C1726" s="10"/>
      <c r="D1726" s="10"/>
      <c r="E1726" s="10"/>
      <c r="F1726" s="10"/>
      <c r="G1726" s="10"/>
      <c r="H1726" s="10"/>
      <c r="I1726" s="10"/>
      <c r="J1726" s="10"/>
      <c r="K1726" s="10"/>
      <c r="L1726" s="10"/>
      <c r="M1726" s="10"/>
      <c r="N1726" s="10"/>
      <c r="O1726" s="3"/>
      <c r="P1726" s="10"/>
    </row>
    <row r="1727" spans="1:16" x14ac:dyDescent="0.15">
      <c r="A1727" s="10"/>
      <c r="B1727" s="3"/>
      <c r="C1727" s="10"/>
      <c r="D1727" s="10"/>
      <c r="E1727" s="10"/>
      <c r="F1727" s="10"/>
      <c r="G1727" s="10"/>
      <c r="H1727" s="10"/>
      <c r="I1727" s="10"/>
      <c r="J1727" s="10"/>
      <c r="K1727" s="10"/>
      <c r="L1727" s="10"/>
      <c r="M1727" s="10"/>
      <c r="N1727" s="10"/>
      <c r="O1727" s="3"/>
      <c r="P1727" s="10"/>
    </row>
    <row r="1728" spans="1:16" x14ac:dyDescent="0.15">
      <c r="A1728" s="10"/>
      <c r="B1728" s="3"/>
      <c r="C1728" s="10"/>
      <c r="D1728" s="10"/>
      <c r="E1728" s="10"/>
      <c r="F1728" s="10"/>
      <c r="G1728" s="10"/>
      <c r="H1728" s="10"/>
      <c r="I1728" s="10"/>
      <c r="J1728" s="10"/>
      <c r="K1728" s="10"/>
      <c r="L1728" s="10"/>
      <c r="M1728" s="10"/>
      <c r="N1728" s="10"/>
      <c r="O1728" s="3"/>
      <c r="P1728" s="10"/>
    </row>
    <row r="1729" spans="1:16" x14ac:dyDescent="0.15">
      <c r="A1729" s="10"/>
      <c r="B1729" s="3"/>
      <c r="C1729" s="10"/>
      <c r="D1729" s="10"/>
      <c r="E1729" s="10"/>
      <c r="F1729" s="10"/>
      <c r="G1729" s="10"/>
      <c r="H1729" s="10"/>
      <c r="I1729" s="10"/>
      <c r="J1729" s="10"/>
      <c r="K1729" s="10"/>
      <c r="L1729" s="10"/>
      <c r="M1729" s="10"/>
      <c r="N1729" s="10"/>
      <c r="O1729" s="3"/>
      <c r="P1729" s="10"/>
    </row>
    <row r="1730" spans="1:16" x14ac:dyDescent="0.15">
      <c r="A1730" s="10"/>
      <c r="B1730" s="3"/>
      <c r="C1730" s="10"/>
      <c r="D1730" s="10"/>
      <c r="E1730" s="10"/>
      <c r="F1730" s="10"/>
      <c r="G1730" s="10"/>
      <c r="H1730" s="10"/>
      <c r="I1730" s="10"/>
      <c r="J1730" s="10"/>
      <c r="K1730" s="10"/>
      <c r="L1730" s="10"/>
      <c r="M1730" s="10"/>
      <c r="N1730" s="10"/>
      <c r="O1730" s="3"/>
      <c r="P1730" s="10"/>
    </row>
    <row r="1731" spans="1:16" x14ac:dyDescent="0.15">
      <c r="A1731" s="10"/>
      <c r="B1731" s="3"/>
      <c r="C1731" s="10"/>
      <c r="D1731" s="10"/>
      <c r="E1731" s="10"/>
      <c r="F1731" s="10"/>
      <c r="G1731" s="10"/>
      <c r="H1731" s="10"/>
      <c r="I1731" s="10"/>
      <c r="J1731" s="10"/>
      <c r="K1731" s="10"/>
      <c r="L1731" s="10"/>
      <c r="M1731" s="10"/>
      <c r="N1731" s="10"/>
      <c r="O1731" s="3"/>
      <c r="P1731" s="10"/>
    </row>
    <row r="1732" spans="1:16" x14ac:dyDescent="0.15">
      <c r="A1732" s="10"/>
      <c r="B1732" s="3"/>
      <c r="C1732" s="10"/>
      <c r="D1732" s="10"/>
      <c r="E1732" s="10"/>
      <c r="F1732" s="10"/>
      <c r="G1732" s="10"/>
      <c r="H1732" s="10"/>
      <c r="I1732" s="10"/>
      <c r="J1732" s="10"/>
      <c r="K1732" s="10"/>
      <c r="L1732" s="10"/>
      <c r="M1732" s="10"/>
      <c r="N1732" s="10"/>
      <c r="O1732" s="3"/>
      <c r="P1732" s="10"/>
    </row>
    <row r="1733" spans="1:16" x14ac:dyDescent="0.15">
      <c r="A1733" s="10"/>
      <c r="B1733" s="3"/>
      <c r="C1733" s="10"/>
      <c r="D1733" s="10"/>
      <c r="E1733" s="10"/>
      <c r="F1733" s="10"/>
      <c r="G1733" s="10"/>
      <c r="H1733" s="10"/>
      <c r="I1733" s="10"/>
      <c r="J1733" s="10"/>
      <c r="K1733" s="10"/>
      <c r="L1733" s="10"/>
      <c r="M1733" s="10"/>
      <c r="N1733" s="10"/>
      <c r="O1733" s="3"/>
      <c r="P1733" s="10"/>
    </row>
    <row r="1734" spans="1:16" x14ac:dyDescent="0.15">
      <c r="A1734" s="10"/>
      <c r="B1734" s="3"/>
      <c r="C1734" s="10"/>
      <c r="D1734" s="10"/>
      <c r="E1734" s="10"/>
      <c r="F1734" s="10"/>
      <c r="G1734" s="10"/>
      <c r="H1734" s="10"/>
      <c r="I1734" s="10"/>
      <c r="J1734" s="10"/>
      <c r="K1734" s="10"/>
      <c r="L1734" s="10"/>
      <c r="M1734" s="10"/>
      <c r="N1734" s="10"/>
      <c r="O1734" s="3"/>
      <c r="P1734" s="10"/>
    </row>
    <row r="1735" spans="1:16" x14ac:dyDescent="0.15">
      <c r="A1735" s="10"/>
      <c r="B1735" s="3"/>
      <c r="C1735" s="10"/>
      <c r="D1735" s="10"/>
      <c r="E1735" s="10"/>
      <c r="F1735" s="10"/>
      <c r="G1735" s="10"/>
      <c r="H1735" s="10"/>
      <c r="I1735" s="10"/>
      <c r="J1735" s="10"/>
      <c r="K1735" s="10"/>
      <c r="L1735" s="10"/>
      <c r="M1735" s="10"/>
      <c r="N1735" s="10"/>
      <c r="O1735" s="3"/>
      <c r="P1735" s="10"/>
    </row>
    <row r="1736" spans="1:16" x14ac:dyDescent="0.15">
      <c r="A1736" s="10"/>
      <c r="B1736" s="3"/>
      <c r="C1736" s="10"/>
      <c r="D1736" s="10"/>
      <c r="E1736" s="10"/>
      <c r="F1736" s="10"/>
      <c r="G1736" s="10"/>
      <c r="H1736" s="10"/>
      <c r="I1736" s="10"/>
      <c r="J1736" s="10"/>
      <c r="K1736" s="10"/>
      <c r="L1736" s="10"/>
      <c r="M1736" s="10"/>
      <c r="N1736" s="10"/>
      <c r="O1736" s="3"/>
      <c r="P1736" s="10"/>
    </row>
    <row r="1737" spans="1:16" x14ac:dyDescent="0.15">
      <c r="A1737" s="10"/>
      <c r="B1737" s="3"/>
      <c r="C1737" s="10"/>
      <c r="D1737" s="10"/>
      <c r="E1737" s="10"/>
      <c r="F1737" s="10"/>
      <c r="G1737" s="10"/>
      <c r="H1737" s="10"/>
      <c r="I1737" s="10"/>
      <c r="J1737" s="10"/>
      <c r="K1737" s="10"/>
      <c r="L1737" s="10"/>
      <c r="M1737" s="10"/>
      <c r="N1737" s="10"/>
      <c r="O1737" s="3"/>
      <c r="P1737" s="10"/>
    </row>
    <row r="1738" spans="1:16" x14ac:dyDescent="0.15">
      <c r="A1738" s="10"/>
      <c r="B1738" s="3"/>
      <c r="C1738" s="10"/>
      <c r="D1738" s="10"/>
      <c r="E1738" s="10"/>
      <c r="F1738" s="10"/>
      <c r="G1738" s="10"/>
      <c r="H1738" s="10"/>
      <c r="I1738" s="10"/>
      <c r="J1738" s="10"/>
      <c r="K1738" s="10"/>
      <c r="L1738" s="10"/>
      <c r="M1738" s="10"/>
      <c r="N1738" s="10"/>
      <c r="O1738" s="3"/>
      <c r="P1738" s="10"/>
    </row>
    <row r="1739" spans="1:16" x14ac:dyDescent="0.15">
      <c r="A1739" s="10"/>
      <c r="B1739" s="3"/>
      <c r="C1739" s="10"/>
      <c r="D1739" s="10"/>
      <c r="E1739" s="10"/>
      <c r="F1739" s="10"/>
      <c r="G1739" s="10"/>
      <c r="H1739" s="10"/>
      <c r="I1739" s="10"/>
      <c r="J1739" s="10"/>
      <c r="K1739" s="10"/>
      <c r="L1739" s="10"/>
      <c r="M1739" s="10"/>
      <c r="N1739" s="10"/>
      <c r="O1739" s="3"/>
      <c r="P1739" s="10"/>
    </row>
    <row r="1740" spans="1:16" x14ac:dyDescent="0.15">
      <c r="A1740" s="10"/>
      <c r="B1740" s="3"/>
      <c r="C1740" s="10"/>
      <c r="D1740" s="10"/>
      <c r="E1740" s="10"/>
      <c r="F1740" s="10"/>
      <c r="G1740" s="10"/>
      <c r="H1740" s="10"/>
      <c r="I1740" s="10"/>
      <c r="J1740" s="10"/>
      <c r="K1740" s="10"/>
      <c r="L1740" s="10"/>
      <c r="M1740" s="10"/>
      <c r="N1740" s="10"/>
      <c r="O1740" s="3"/>
      <c r="P1740" s="10"/>
    </row>
    <row r="1741" spans="1:16" x14ac:dyDescent="0.15">
      <c r="A1741" s="10"/>
      <c r="B1741" s="3"/>
      <c r="C1741" s="10"/>
      <c r="D1741" s="10"/>
      <c r="E1741" s="10"/>
      <c r="F1741" s="10"/>
      <c r="G1741" s="10"/>
      <c r="H1741" s="10"/>
      <c r="I1741" s="10"/>
      <c r="J1741" s="10"/>
      <c r="K1741" s="10"/>
      <c r="L1741" s="10"/>
      <c r="M1741" s="10"/>
      <c r="N1741" s="10"/>
      <c r="O1741" s="3"/>
      <c r="P1741" s="10"/>
    </row>
    <row r="1742" spans="1:16" x14ac:dyDescent="0.15">
      <c r="A1742" s="10"/>
      <c r="B1742" s="3"/>
      <c r="C1742" s="10"/>
      <c r="D1742" s="10"/>
      <c r="E1742" s="10"/>
      <c r="F1742" s="10"/>
      <c r="G1742" s="10"/>
      <c r="H1742" s="10"/>
      <c r="I1742" s="10"/>
      <c r="J1742" s="10"/>
      <c r="K1742" s="10"/>
      <c r="L1742" s="10"/>
      <c r="M1742" s="10"/>
      <c r="N1742" s="10"/>
      <c r="O1742" s="3"/>
      <c r="P1742" s="10"/>
    </row>
    <row r="1743" spans="1:16" x14ac:dyDescent="0.15">
      <c r="A1743" s="10"/>
      <c r="B1743" s="3"/>
      <c r="C1743" s="10"/>
      <c r="D1743" s="10"/>
      <c r="E1743" s="10"/>
      <c r="F1743" s="10"/>
      <c r="G1743" s="10"/>
      <c r="H1743" s="10"/>
      <c r="I1743" s="10"/>
      <c r="J1743" s="10"/>
      <c r="K1743" s="10"/>
      <c r="L1743" s="10"/>
      <c r="M1743" s="10"/>
      <c r="N1743" s="10"/>
      <c r="O1743" s="3"/>
      <c r="P1743" s="10"/>
    </row>
    <row r="1744" spans="1:16" x14ac:dyDescent="0.15">
      <c r="A1744" s="10"/>
      <c r="B1744" s="3"/>
      <c r="C1744" s="10"/>
      <c r="D1744" s="10"/>
      <c r="E1744" s="10"/>
      <c r="F1744" s="10"/>
      <c r="G1744" s="10"/>
      <c r="H1744" s="10"/>
      <c r="I1744" s="10"/>
      <c r="J1744" s="10"/>
      <c r="K1744" s="10"/>
      <c r="L1744" s="10"/>
      <c r="M1744" s="10"/>
      <c r="N1744" s="10"/>
      <c r="O1744" s="3"/>
      <c r="P1744" s="10"/>
    </row>
    <row r="1745" spans="1:16" x14ac:dyDescent="0.15">
      <c r="A1745" s="10"/>
      <c r="B1745" s="3"/>
      <c r="C1745" s="10"/>
      <c r="D1745" s="10"/>
      <c r="E1745" s="10"/>
      <c r="F1745" s="10"/>
      <c r="G1745" s="10"/>
      <c r="H1745" s="10"/>
      <c r="I1745" s="10"/>
      <c r="J1745" s="10"/>
      <c r="K1745" s="10"/>
      <c r="L1745" s="10"/>
      <c r="M1745" s="10"/>
      <c r="N1745" s="10"/>
      <c r="O1745" s="3"/>
      <c r="P1745" s="10"/>
    </row>
    <row r="1746" spans="1:16" x14ac:dyDescent="0.15">
      <c r="A1746" s="10"/>
      <c r="B1746" s="3"/>
      <c r="C1746" s="10"/>
      <c r="D1746" s="10"/>
      <c r="E1746" s="10"/>
      <c r="F1746" s="10"/>
      <c r="G1746" s="10"/>
      <c r="H1746" s="10"/>
      <c r="I1746" s="10"/>
      <c r="J1746" s="10"/>
      <c r="K1746" s="10"/>
      <c r="L1746" s="10"/>
      <c r="M1746" s="10"/>
      <c r="N1746" s="10"/>
      <c r="O1746" s="3"/>
      <c r="P1746" s="10"/>
    </row>
    <row r="1747" spans="1:16" x14ac:dyDescent="0.15">
      <c r="A1747" s="10"/>
      <c r="B1747" s="3"/>
      <c r="C1747" s="10"/>
      <c r="D1747" s="10"/>
      <c r="E1747" s="10"/>
      <c r="F1747" s="10"/>
      <c r="G1747" s="10"/>
      <c r="H1747" s="10"/>
      <c r="I1747" s="10"/>
      <c r="J1747" s="10"/>
      <c r="K1747" s="10"/>
      <c r="L1747" s="10"/>
      <c r="M1747" s="10"/>
      <c r="N1747" s="10"/>
      <c r="O1747" s="3"/>
      <c r="P1747" s="10"/>
    </row>
    <row r="1748" spans="1:16" x14ac:dyDescent="0.15">
      <c r="A1748" s="10"/>
      <c r="B1748" s="3"/>
      <c r="C1748" s="10"/>
      <c r="D1748" s="10"/>
      <c r="E1748" s="10"/>
      <c r="F1748" s="10"/>
      <c r="G1748" s="10"/>
      <c r="H1748" s="10"/>
      <c r="I1748" s="10"/>
      <c r="J1748" s="10"/>
      <c r="K1748" s="10"/>
      <c r="L1748" s="10"/>
      <c r="M1748" s="10"/>
      <c r="N1748" s="10"/>
      <c r="O1748" s="3"/>
      <c r="P1748" s="10"/>
    </row>
    <row r="1749" spans="1:16" x14ac:dyDescent="0.15">
      <c r="A1749" s="10"/>
      <c r="B1749" s="3"/>
      <c r="C1749" s="10"/>
      <c r="D1749" s="10"/>
      <c r="E1749" s="10"/>
      <c r="F1749" s="10"/>
      <c r="G1749" s="10"/>
      <c r="H1749" s="10"/>
      <c r="I1749" s="10"/>
      <c r="J1749" s="10"/>
      <c r="K1749" s="10"/>
      <c r="L1749" s="10"/>
      <c r="M1749" s="10"/>
      <c r="N1749" s="10"/>
      <c r="O1749" s="3"/>
      <c r="P1749" s="10"/>
    </row>
    <row r="1750" spans="1:16" x14ac:dyDescent="0.15">
      <c r="A1750" s="10"/>
      <c r="B1750" s="3"/>
      <c r="C1750" s="10"/>
      <c r="D1750" s="10"/>
      <c r="E1750" s="10"/>
      <c r="F1750" s="10"/>
      <c r="G1750" s="10"/>
      <c r="H1750" s="10"/>
      <c r="I1750" s="10"/>
      <c r="J1750" s="10"/>
      <c r="K1750" s="10"/>
      <c r="L1750" s="10"/>
      <c r="M1750" s="10"/>
      <c r="N1750" s="10"/>
      <c r="O1750" s="3"/>
      <c r="P1750" s="10"/>
    </row>
    <row r="1751" spans="1:16" x14ac:dyDescent="0.15">
      <c r="A1751" s="10"/>
      <c r="B1751" s="3"/>
      <c r="C1751" s="10"/>
      <c r="D1751" s="10"/>
      <c r="E1751" s="10"/>
      <c r="F1751" s="10"/>
      <c r="G1751" s="10"/>
      <c r="H1751" s="10"/>
      <c r="I1751" s="10"/>
      <c r="J1751" s="10"/>
      <c r="K1751" s="10"/>
      <c r="L1751" s="10"/>
      <c r="M1751" s="10"/>
      <c r="N1751" s="10"/>
      <c r="O1751" s="3"/>
      <c r="P1751" s="10"/>
    </row>
    <row r="1752" spans="1:16" x14ac:dyDescent="0.15">
      <c r="A1752" s="10"/>
      <c r="B1752" s="3"/>
      <c r="C1752" s="10"/>
      <c r="D1752" s="10"/>
      <c r="E1752" s="10"/>
      <c r="F1752" s="10"/>
      <c r="G1752" s="10"/>
      <c r="H1752" s="10"/>
      <c r="I1752" s="10"/>
      <c r="J1752" s="10"/>
      <c r="K1752" s="10"/>
      <c r="L1752" s="10"/>
      <c r="M1752" s="10"/>
      <c r="N1752" s="10"/>
      <c r="O1752" s="3"/>
      <c r="P1752" s="10"/>
    </row>
    <row r="1753" spans="1:16" x14ac:dyDescent="0.15">
      <c r="A1753" s="10"/>
      <c r="B1753" s="3"/>
      <c r="C1753" s="10"/>
      <c r="D1753" s="10"/>
      <c r="E1753" s="10"/>
      <c r="F1753" s="10"/>
      <c r="G1753" s="10"/>
      <c r="H1753" s="10"/>
      <c r="I1753" s="10"/>
      <c r="J1753" s="10"/>
      <c r="K1753" s="10"/>
      <c r="L1753" s="10"/>
      <c r="M1753" s="10"/>
      <c r="N1753" s="10"/>
      <c r="O1753" s="3"/>
      <c r="P1753" s="10"/>
    </row>
    <row r="1754" spans="1:16" x14ac:dyDescent="0.15">
      <c r="A1754" s="10"/>
      <c r="B1754" s="3"/>
      <c r="C1754" s="10"/>
      <c r="D1754" s="10"/>
      <c r="E1754" s="10"/>
      <c r="F1754" s="10"/>
      <c r="G1754" s="10"/>
      <c r="H1754" s="10"/>
      <c r="I1754" s="10"/>
      <c r="J1754" s="10"/>
      <c r="K1754" s="10"/>
      <c r="L1754" s="10"/>
      <c r="M1754" s="10"/>
      <c r="N1754" s="10"/>
      <c r="O1754" s="3"/>
      <c r="P1754" s="10"/>
    </row>
    <row r="1755" spans="1:16" x14ac:dyDescent="0.15">
      <c r="A1755" s="10"/>
      <c r="B1755" s="3"/>
      <c r="C1755" s="10"/>
      <c r="D1755" s="10"/>
      <c r="E1755" s="10"/>
      <c r="F1755" s="10"/>
      <c r="G1755" s="10"/>
      <c r="H1755" s="10"/>
      <c r="I1755" s="10"/>
      <c r="J1755" s="10"/>
      <c r="K1755" s="10"/>
      <c r="L1755" s="10"/>
      <c r="M1755" s="10"/>
      <c r="N1755" s="10"/>
      <c r="O1755" s="3"/>
      <c r="P1755" s="10"/>
    </row>
    <row r="1756" spans="1:16" x14ac:dyDescent="0.15">
      <c r="A1756" s="10"/>
      <c r="B1756" s="3"/>
      <c r="C1756" s="10"/>
      <c r="D1756" s="10"/>
      <c r="E1756" s="10"/>
      <c r="F1756" s="10"/>
      <c r="G1756" s="10"/>
      <c r="H1756" s="10"/>
      <c r="I1756" s="10"/>
      <c r="J1756" s="10"/>
      <c r="K1756" s="10"/>
      <c r="L1756" s="10"/>
      <c r="M1756" s="10"/>
      <c r="N1756" s="10"/>
      <c r="O1756" s="3"/>
      <c r="P1756" s="10"/>
    </row>
    <row r="1757" spans="1:16" x14ac:dyDescent="0.15">
      <c r="A1757" s="10"/>
      <c r="B1757" s="3"/>
      <c r="C1757" s="10"/>
      <c r="D1757" s="10"/>
      <c r="E1757" s="10"/>
      <c r="F1757" s="10"/>
      <c r="G1757" s="10"/>
      <c r="H1757" s="10"/>
      <c r="I1757" s="10"/>
      <c r="J1757" s="10"/>
      <c r="K1757" s="10"/>
      <c r="L1757" s="10"/>
      <c r="M1757" s="10"/>
      <c r="N1757" s="10"/>
      <c r="O1757" s="3"/>
      <c r="P1757" s="10"/>
    </row>
    <row r="1758" spans="1:16" x14ac:dyDescent="0.15">
      <c r="A1758" s="10"/>
      <c r="B1758" s="3"/>
      <c r="C1758" s="10"/>
      <c r="D1758" s="10"/>
      <c r="E1758" s="10"/>
      <c r="F1758" s="10"/>
      <c r="G1758" s="10"/>
      <c r="H1758" s="10"/>
      <c r="I1758" s="10"/>
      <c r="J1758" s="10"/>
      <c r="K1758" s="10"/>
      <c r="L1758" s="10"/>
      <c r="M1758" s="10"/>
      <c r="N1758" s="10"/>
      <c r="O1758" s="3"/>
      <c r="P1758" s="10"/>
    </row>
    <row r="1759" spans="1:16" x14ac:dyDescent="0.15">
      <c r="A1759" s="10"/>
      <c r="B1759" s="3"/>
      <c r="C1759" s="10"/>
      <c r="D1759" s="10"/>
      <c r="E1759" s="10"/>
      <c r="F1759" s="10"/>
      <c r="G1759" s="10"/>
      <c r="H1759" s="10"/>
      <c r="I1759" s="10"/>
      <c r="J1759" s="10"/>
      <c r="K1759" s="10"/>
      <c r="L1759" s="10"/>
      <c r="M1759" s="10"/>
      <c r="N1759" s="10"/>
      <c r="O1759" s="3"/>
      <c r="P1759" s="10"/>
    </row>
    <row r="1760" spans="1:16" x14ac:dyDescent="0.15">
      <c r="A1760" s="10"/>
      <c r="B1760" s="3"/>
      <c r="C1760" s="10"/>
      <c r="D1760" s="10"/>
      <c r="E1760" s="10"/>
      <c r="F1760" s="10"/>
      <c r="G1760" s="10"/>
      <c r="H1760" s="10"/>
      <c r="I1760" s="10"/>
      <c r="J1760" s="10"/>
      <c r="K1760" s="10"/>
      <c r="L1760" s="10"/>
      <c r="M1760" s="10"/>
      <c r="N1760" s="10"/>
      <c r="O1760" s="3"/>
      <c r="P1760" s="10"/>
    </row>
    <row r="1761" spans="1:16" x14ac:dyDescent="0.15">
      <c r="A1761" s="10"/>
      <c r="B1761" s="3"/>
      <c r="C1761" s="10"/>
      <c r="D1761" s="10"/>
      <c r="E1761" s="10"/>
      <c r="F1761" s="10"/>
      <c r="G1761" s="10"/>
      <c r="H1761" s="10"/>
      <c r="I1761" s="10"/>
      <c r="J1761" s="10"/>
      <c r="K1761" s="10"/>
      <c r="L1761" s="10"/>
      <c r="M1761" s="10"/>
      <c r="N1761" s="10"/>
      <c r="O1761" s="3"/>
      <c r="P1761" s="10"/>
    </row>
    <row r="1762" spans="1:16" x14ac:dyDescent="0.15">
      <c r="A1762" s="10"/>
      <c r="B1762" s="3"/>
      <c r="C1762" s="10"/>
      <c r="D1762" s="10"/>
      <c r="E1762" s="10"/>
      <c r="F1762" s="10"/>
      <c r="G1762" s="10"/>
      <c r="H1762" s="10"/>
      <c r="I1762" s="10"/>
      <c r="J1762" s="10"/>
      <c r="K1762" s="10"/>
      <c r="L1762" s="10"/>
      <c r="M1762" s="10"/>
      <c r="N1762" s="10"/>
      <c r="O1762" s="3"/>
      <c r="P1762" s="10"/>
    </row>
    <row r="1763" spans="1:16" x14ac:dyDescent="0.15">
      <c r="A1763" s="10"/>
      <c r="B1763" s="3"/>
      <c r="C1763" s="10"/>
      <c r="D1763" s="10"/>
      <c r="E1763" s="10"/>
      <c r="F1763" s="10"/>
      <c r="G1763" s="10"/>
      <c r="H1763" s="10"/>
      <c r="I1763" s="10"/>
      <c r="J1763" s="10"/>
      <c r="K1763" s="10"/>
      <c r="L1763" s="10"/>
      <c r="M1763" s="10"/>
      <c r="N1763" s="10"/>
      <c r="O1763" s="3"/>
      <c r="P1763" s="10"/>
    </row>
    <row r="1764" spans="1:16" x14ac:dyDescent="0.15">
      <c r="A1764" s="10"/>
      <c r="B1764" s="3"/>
      <c r="C1764" s="10"/>
      <c r="D1764" s="10"/>
      <c r="E1764" s="10"/>
      <c r="F1764" s="10"/>
      <c r="G1764" s="10"/>
      <c r="H1764" s="10"/>
      <c r="I1764" s="10"/>
      <c r="J1764" s="10"/>
      <c r="K1764" s="10"/>
      <c r="L1764" s="10"/>
      <c r="M1764" s="10"/>
      <c r="N1764" s="10"/>
      <c r="O1764" s="3"/>
      <c r="P1764" s="10"/>
    </row>
    <row r="1765" spans="1:16" x14ac:dyDescent="0.15">
      <c r="A1765" s="10"/>
      <c r="B1765" s="3"/>
      <c r="C1765" s="10"/>
      <c r="D1765" s="10"/>
      <c r="E1765" s="10"/>
      <c r="F1765" s="10"/>
      <c r="G1765" s="10"/>
      <c r="H1765" s="10"/>
      <c r="I1765" s="10"/>
      <c r="J1765" s="10"/>
      <c r="K1765" s="10"/>
      <c r="L1765" s="10"/>
      <c r="M1765" s="10"/>
      <c r="N1765" s="10"/>
      <c r="O1765" s="3"/>
      <c r="P1765" s="10"/>
    </row>
    <row r="1766" spans="1:16" x14ac:dyDescent="0.15">
      <c r="A1766" s="10"/>
      <c r="B1766" s="3"/>
      <c r="C1766" s="10"/>
      <c r="D1766" s="10"/>
      <c r="E1766" s="10"/>
      <c r="F1766" s="10"/>
      <c r="G1766" s="10"/>
      <c r="H1766" s="10"/>
      <c r="I1766" s="10"/>
      <c r="J1766" s="10"/>
      <c r="K1766" s="10"/>
      <c r="L1766" s="10"/>
      <c r="M1766" s="10"/>
      <c r="N1766" s="10"/>
      <c r="O1766" s="3"/>
      <c r="P1766" s="10"/>
    </row>
    <row r="1767" spans="1:16" x14ac:dyDescent="0.15">
      <c r="A1767" s="10"/>
      <c r="B1767" s="3"/>
      <c r="C1767" s="10"/>
      <c r="D1767" s="10"/>
      <c r="E1767" s="10"/>
      <c r="F1767" s="10"/>
      <c r="G1767" s="10"/>
      <c r="H1767" s="10"/>
      <c r="I1767" s="10"/>
      <c r="J1767" s="10"/>
      <c r="K1767" s="10"/>
      <c r="L1767" s="10"/>
      <c r="M1767" s="10"/>
      <c r="N1767" s="10"/>
      <c r="O1767" s="3"/>
      <c r="P1767" s="10"/>
    </row>
    <row r="1768" spans="1:16" x14ac:dyDescent="0.15">
      <c r="A1768" s="10"/>
      <c r="B1768" s="3"/>
      <c r="C1768" s="10"/>
      <c r="D1768" s="10"/>
      <c r="E1768" s="10"/>
      <c r="F1768" s="10"/>
      <c r="G1768" s="10"/>
      <c r="H1768" s="10"/>
      <c r="I1768" s="10"/>
      <c r="J1768" s="10"/>
      <c r="K1768" s="10"/>
      <c r="L1768" s="10"/>
      <c r="M1768" s="10"/>
      <c r="N1768" s="10"/>
      <c r="O1768" s="3"/>
      <c r="P1768" s="10"/>
    </row>
    <row r="1769" spans="1:16" x14ac:dyDescent="0.15">
      <c r="A1769" s="10"/>
      <c r="B1769" s="3"/>
      <c r="C1769" s="10"/>
      <c r="D1769" s="10"/>
      <c r="E1769" s="10"/>
      <c r="F1769" s="10"/>
      <c r="G1769" s="10"/>
      <c r="H1769" s="10"/>
      <c r="I1769" s="10"/>
      <c r="J1769" s="10"/>
      <c r="K1769" s="10"/>
      <c r="L1769" s="10"/>
      <c r="M1769" s="10"/>
      <c r="N1769" s="10"/>
      <c r="O1769" s="3"/>
      <c r="P1769" s="10"/>
    </row>
    <row r="1770" spans="1:16" x14ac:dyDescent="0.15">
      <c r="A1770" s="10"/>
      <c r="B1770" s="3"/>
      <c r="C1770" s="10"/>
      <c r="D1770" s="10"/>
      <c r="E1770" s="10"/>
      <c r="F1770" s="10"/>
      <c r="G1770" s="10"/>
      <c r="H1770" s="10"/>
      <c r="I1770" s="10"/>
      <c r="J1770" s="10"/>
      <c r="K1770" s="10"/>
      <c r="L1770" s="10"/>
      <c r="M1770" s="10"/>
      <c r="N1770" s="10"/>
      <c r="O1770" s="3"/>
      <c r="P1770" s="10"/>
    </row>
    <row r="1771" spans="1:16" x14ac:dyDescent="0.15">
      <c r="A1771" s="10"/>
      <c r="B1771" s="3"/>
      <c r="C1771" s="10"/>
      <c r="D1771" s="10"/>
      <c r="E1771" s="10"/>
      <c r="F1771" s="10"/>
      <c r="G1771" s="10"/>
      <c r="H1771" s="10"/>
      <c r="I1771" s="10"/>
      <c r="J1771" s="10"/>
      <c r="K1771" s="10"/>
      <c r="L1771" s="10"/>
      <c r="M1771" s="10"/>
      <c r="N1771" s="10"/>
      <c r="O1771" s="3"/>
      <c r="P1771" s="10"/>
    </row>
    <row r="1772" spans="1:16" x14ac:dyDescent="0.15">
      <c r="A1772" s="10"/>
      <c r="B1772" s="3"/>
      <c r="C1772" s="10"/>
      <c r="D1772" s="10"/>
      <c r="E1772" s="10"/>
      <c r="F1772" s="10"/>
      <c r="G1772" s="10"/>
      <c r="H1772" s="10"/>
      <c r="I1772" s="10"/>
      <c r="J1772" s="10"/>
      <c r="K1772" s="10"/>
      <c r="L1772" s="10"/>
      <c r="M1772" s="10"/>
      <c r="N1772" s="10"/>
      <c r="O1772" s="3"/>
      <c r="P1772" s="10"/>
    </row>
    <row r="1773" spans="1:16" x14ac:dyDescent="0.15">
      <c r="A1773" s="10"/>
      <c r="B1773" s="3"/>
      <c r="C1773" s="10"/>
      <c r="D1773" s="10"/>
      <c r="E1773" s="10"/>
      <c r="F1773" s="10"/>
      <c r="G1773" s="10"/>
      <c r="H1773" s="10"/>
      <c r="I1773" s="10"/>
      <c r="J1773" s="10"/>
      <c r="K1773" s="10"/>
      <c r="L1773" s="10"/>
      <c r="M1773" s="10"/>
      <c r="N1773" s="10"/>
      <c r="O1773" s="3"/>
      <c r="P1773" s="10"/>
    </row>
    <row r="1774" spans="1:16" x14ac:dyDescent="0.15">
      <c r="A1774" s="10"/>
      <c r="B1774" s="3"/>
      <c r="C1774" s="10"/>
      <c r="D1774" s="10"/>
      <c r="E1774" s="10"/>
      <c r="F1774" s="10"/>
      <c r="G1774" s="10"/>
      <c r="H1774" s="10"/>
      <c r="I1774" s="10"/>
      <c r="J1774" s="10"/>
      <c r="K1774" s="10"/>
      <c r="L1774" s="10"/>
      <c r="M1774" s="10"/>
      <c r="N1774" s="10"/>
      <c r="O1774" s="3"/>
      <c r="P1774" s="10"/>
    </row>
    <row r="1775" spans="1:16" x14ac:dyDescent="0.15">
      <c r="A1775" s="10"/>
      <c r="B1775" s="3"/>
      <c r="C1775" s="10"/>
      <c r="D1775" s="10"/>
      <c r="E1775" s="10"/>
      <c r="F1775" s="10"/>
      <c r="G1775" s="10"/>
      <c r="H1775" s="10"/>
      <c r="I1775" s="10"/>
      <c r="J1775" s="10"/>
      <c r="K1775" s="10"/>
      <c r="L1775" s="10"/>
      <c r="M1775" s="10"/>
      <c r="N1775" s="10"/>
      <c r="O1775" s="3"/>
      <c r="P1775" s="10"/>
    </row>
    <row r="1776" spans="1:16" x14ac:dyDescent="0.15">
      <c r="A1776" s="10"/>
      <c r="B1776" s="3"/>
      <c r="C1776" s="10"/>
      <c r="D1776" s="10"/>
      <c r="E1776" s="10"/>
      <c r="F1776" s="10"/>
      <c r="G1776" s="10"/>
      <c r="H1776" s="10"/>
      <c r="I1776" s="10"/>
      <c r="J1776" s="10"/>
      <c r="K1776" s="10"/>
      <c r="L1776" s="10"/>
      <c r="M1776" s="10"/>
      <c r="N1776" s="10"/>
      <c r="O1776" s="3"/>
      <c r="P1776" s="10"/>
    </row>
    <row r="1777" spans="1:16" x14ac:dyDescent="0.15">
      <c r="A1777" s="10"/>
      <c r="B1777" s="3"/>
      <c r="C1777" s="10"/>
      <c r="D1777" s="10"/>
      <c r="E1777" s="10"/>
      <c r="F1777" s="10"/>
      <c r="G1777" s="10"/>
      <c r="H1777" s="10"/>
      <c r="I1777" s="10"/>
      <c r="J1777" s="10"/>
      <c r="K1777" s="10"/>
      <c r="L1777" s="10"/>
      <c r="M1777" s="10"/>
      <c r="N1777" s="10"/>
      <c r="O1777" s="3"/>
      <c r="P1777" s="10"/>
    </row>
    <row r="1778" spans="1:16" x14ac:dyDescent="0.15">
      <c r="A1778" s="10"/>
      <c r="B1778" s="3"/>
      <c r="C1778" s="10"/>
      <c r="D1778" s="10"/>
      <c r="E1778" s="10"/>
      <c r="F1778" s="10"/>
      <c r="G1778" s="10"/>
      <c r="H1778" s="10"/>
      <c r="I1778" s="10"/>
      <c r="J1778" s="10"/>
      <c r="K1778" s="10"/>
      <c r="L1778" s="10"/>
      <c r="M1778" s="10"/>
      <c r="N1778" s="10"/>
      <c r="O1778" s="3"/>
      <c r="P1778" s="10"/>
    </row>
    <row r="1779" spans="1:16" x14ac:dyDescent="0.15">
      <c r="A1779" s="10"/>
      <c r="B1779" s="3"/>
      <c r="C1779" s="10"/>
      <c r="D1779" s="10"/>
      <c r="E1779" s="10"/>
      <c r="F1779" s="10"/>
      <c r="G1779" s="10"/>
      <c r="H1779" s="10"/>
      <c r="I1779" s="10"/>
      <c r="J1779" s="10"/>
      <c r="K1779" s="10"/>
      <c r="L1779" s="10"/>
      <c r="M1779" s="10"/>
      <c r="N1779" s="10"/>
      <c r="O1779" s="3"/>
      <c r="P1779" s="10"/>
    </row>
    <row r="1780" spans="1:16" x14ac:dyDescent="0.15">
      <c r="A1780" s="10"/>
      <c r="B1780" s="3"/>
      <c r="C1780" s="10"/>
      <c r="D1780" s="10"/>
      <c r="E1780" s="10"/>
      <c r="F1780" s="10"/>
      <c r="G1780" s="10"/>
      <c r="H1780" s="10"/>
      <c r="I1780" s="10"/>
      <c r="J1780" s="10"/>
      <c r="K1780" s="10"/>
      <c r="L1780" s="10"/>
      <c r="M1780" s="10"/>
      <c r="N1780" s="10"/>
      <c r="O1780" s="3"/>
      <c r="P1780" s="10"/>
    </row>
    <row r="1781" spans="1:16" x14ac:dyDescent="0.15">
      <c r="A1781" s="10"/>
      <c r="B1781" s="3"/>
      <c r="C1781" s="10"/>
      <c r="D1781" s="10"/>
      <c r="E1781" s="10"/>
      <c r="F1781" s="10"/>
      <c r="G1781" s="10"/>
      <c r="H1781" s="10"/>
      <c r="I1781" s="10"/>
      <c r="J1781" s="10"/>
      <c r="K1781" s="10"/>
      <c r="L1781" s="10"/>
      <c r="M1781" s="10"/>
      <c r="N1781" s="10"/>
      <c r="O1781" s="3"/>
      <c r="P1781" s="10"/>
    </row>
    <row r="1782" spans="1:16" x14ac:dyDescent="0.15">
      <c r="A1782" s="10"/>
      <c r="B1782" s="3"/>
      <c r="C1782" s="10"/>
      <c r="D1782" s="10"/>
      <c r="E1782" s="10"/>
      <c r="F1782" s="10"/>
      <c r="G1782" s="10"/>
      <c r="H1782" s="10"/>
      <c r="I1782" s="10"/>
      <c r="J1782" s="10"/>
      <c r="K1782" s="10"/>
      <c r="L1782" s="10"/>
      <c r="M1782" s="10"/>
      <c r="N1782" s="10"/>
      <c r="O1782" s="3"/>
      <c r="P1782" s="10"/>
    </row>
    <row r="1783" spans="1:16" x14ac:dyDescent="0.15">
      <c r="A1783" s="10"/>
      <c r="B1783" s="3"/>
      <c r="C1783" s="10"/>
      <c r="D1783" s="10"/>
      <c r="E1783" s="10"/>
      <c r="F1783" s="10"/>
      <c r="G1783" s="10"/>
      <c r="H1783" s="10"/>
      <c r="I1783" s="10"/>
      <c r="J1783" s="10"/>
      <c r="K1783" s="10"/>
      <c r="L1783" s="10"/>
      <c r="M1783" s="10"/>
      <c r="N1783" s="10"/>
      <c r="O1783" s="3"/>
      <c r="P1783" s="10"/>
    </row>
    <row r="1784" spans="1:16" x14ac:dyDescent="0.15">
      <c r="A1784" s="10"/>
      <c r="B1784" s="3"/>
      <c r="C1784" s="10"/>
      <c r="D1784" s="10"/>
      <c r="E1784" s="10"/>
      <c r="F1784" s="10"/>
      <c r="G1784" s="10"/>
      <c r="H1784" s="10"/>
      <c r="I1784" s="10"/>
      <c r="J1784" s="10"/>
      <c r="K1784" s="10"/>
      <c r="L1784" s="10"/>
      <c r="M1784" s="10"/>
      <c r="N1784" s="10"/>
      <c r="O1784" s="3"/>
      <c r="P1784" s="10"/>
    </row>
    <row r="1785" spans="1:16" x14ac:dyDescent="0.15">
      <c r="A1785" s="10"/>
      <c r="B1785" s="3"/>
      <c r="C1785" s="10"/>
      <c r="D1785" s="10"/>
      <c r="E1785" s="10"/>
      <c r="F1785" s="10"/>
      <c r="G1785" s="10"/>
      <c r="H1785" s="10"/>
      <c r="I1785" s="10"/>
      <c r="J1785" s="10"/>
      <c r="K1785" s="10"/>
      <c r="L1785" s="10"/>
      <c r="M1785" s="10"/>
      <c r="N1785" s="10"/>
      <c r="O1785" s="3"/>
      <c r="P1785" s="10"/>
    </row>
    <row r="1786" spans="1:16" x14ac:dyDescent="0.15">
      <c r="A1786" s="10"/>
      <c r="B1786" s="3"/>
      <c r="C1786" s="10"/>
      <c r="D1786" s="10"/>
      <c r="E1786" s="10"/>
      <c r="F1786" s="10"/>
      <c r="G1786" s="10"/>
      <c r="H1786" s="10"/>
      <c r="I1786" s="10"/>
      <c r="J1786" s="10"/>
      <c r="K1786" s="10"/>
      <c r="L1786" s="10"/>
      <c r="M1786" s="10"/>
      <c r="N1786" s="10"/>
      <c r="O1786" s="3"/>
      <c r="P1786" s="10"/>
    </row>
    <row r="1787" spans="1:16" x14ac:dyDescent="0.15">
      <c r="A1787" s="10"/>
      <c r="B1787" s="3"/>
      <c r="C1787" s="10"/>
      <c r="D1787" s="10"/>
      <c r="E1787" s="10"/>
      <c r="F1787" s="10"/>
      <c r="G1787" s="10"/>
      <c r="H1787" s="10"/>
      <c r="I1787" s="10"/>
      <c r="J1787" s="10"/>
      <c r="K1787" s="10"/>
      <c r="L1787" s="10"/>
      <c r="M1787" s="10"/>
      <c r="N1787" s="10"/>
      <c r="O1787" s="3"/>
      <c r="P1787" s="10"/>
    </row>
    <row r="1788" spans="1:16" x14ac:dyDescent="0.15">
      <c r="A1788" s="10"/>
      <c r="B1788" s="3"/>
      <c r="C1788" s="10"/>
      <c r="D1788" s="10"/>
      <c r="E1788" s="10"/>
      <c r="F1788" s="10"/>
      <c r="G1788" s="10"/>
      <c r="H1788" s="10"/>
      <c r="I1788" s="10"/>
      <c r="J1788" s="10"/>
      <c r="K1788" s="10"/>
      <c r="L1788" s="10"/>
      <c r="M1788" s="10"/>
      <c r="N1788" s="10"/>
      <c r="O1788" s="3"/>
      <c r="P1788" s="10"/>
    </row>
    <row r="1789" spans="1:16" x14ac:dyDescent="0.15">
      <c r="A1789" s="10"/>
      <c r="B1789" s="3"/>
      <c r="C1789" s="10"/>
      <c r="D1789" s="10"/>
      <c r="E1789" s="10"/>
      <c r="F1789" s="10"/>
      <c r="G1789" s="10"/>
      <c r="H1789" s="10"/>
      <c r="I1789" s="10"/>
      <c r="J1789" s="10"/>
      <c r="K1789" s="10"/>
      <c r="L1789" s="10"/>
      <c r="M1789" s="10"/>
      <c r="N1789" s="10"/>
      <c r="O1789" s="3"/>
      <c r="P1789" s="10"/>
    </row>
    <row r="1790" spans="1:16" x14ac:dyDescent="0.15">
      <c r="A1790" s="10"/>
      <c r="B1790" s="3"/>
      <c r="C1790" s="10"/>
      <c r="D1790" s="10"/>
      <c r="E1790" s="10"/>
      <c r="F1790" s="10"/>
      <c r="G1790" s="10"/>
      <c r="H1790" s="10"/>
      <c r="I1790" s="10"/>
      <c r="J1790" s="10"/>
      <c r="K1790" s="10"/>
      <c r="L1790" s="10"/>
      <c r="M1790" s="10"/>
      <c r="N1790" s="10"/>
      <c r="O1790" s="3"/>
      <c r="P1790" s="10"/>
    </row>
    <row r="1791" spans="1:16" x14ac:dyDescent="0.15">
      <c r="A1791" s="10"/>
      <c r="B1791" s="3"/>
      <c r="C1791" s="10"/>
      <c r="D1791" s="10"/>
      <c r="E1791" s="10"/>
      <c r="F1791" s="10"/>
      <c r="G1791" s="10"/>
      <c r="H1791" s="10"/>
      <c r="I1791" s="10"/>
      <c r="J1791" s="10"/>
      <c r="K1791" s="10"/>
      <c r="L1791" s="10"/>
      <c r="M1791" s="10"/>
      <c r="N1791" s="10"/>
      <c r="O1791" s="3"/>
      <c r="P1791" s="10"/>
    </row>
    <row r="1792" spans="1:16" x14ac:dyDescent="0.15">
      <c r="A1792" s="10"/>
      <c r="B1792" s="3"/>
      <c r="C1792" s="10"/>
      <c r="D1792" s="10"/>
      <c r="E1792" s="10"/>
      <c r="F1792" s="10"/>
      <c r="G1792" s="10"/>
      <c r="H1792" s="10"/>
      <c r="I1792" s="10"/>
      <c r="J1792" s="10"/>
      <c r="K1792" s="10"/>
      <c r="L1792" s="10"/>
      <c r="M1792" s="10"/>
      <c r="N1792" s="10"/>
      <c r="O1792" s="3"/>
      <c r="P1792" s="10"/>
    </row>
    <row r="1793" spans="1:16" x14ac:dyDescent="0.15">
      <c r="A1793" s="10"/>
      <c r="B1793" s="3"/>
      <c r="C1793" s="10"/>
      <c r="D1793" s="10"/>
      <c r="E1793" s="10"/>
      <c r="F1793" s="10"/>
      <c r="G1793" s="10"/>
      <c r="H1793" s="10"/>
      <c r="I1793" s="10"/>
      <c r="J1793" s="10"/>
      <c r="K1793" s="10"/>
      <c r="L1793" s="10"/>
      <c r="M1793" s="10"/>
      <c r="N1793" s="10"/>
      <c r="O1793" s="3"/>
      <c r="P1793" s="10"/>
    </row>
    <row r="1794" spans="1:16" x14ac:dyDescent="0.15">
      <c r="A1794" s="10"/>
      <c r="B1794" s="3"/>
      <c r="C1794" s="10"/>
      <c r="D1794" s="10"/>
      <c r="E1794" s="10"/>
      <c r="F1794" s="10"/>
      <c r="G1794" s="10"/>
      <c r="H1794" s="10"/>
      <c r="I1794" s="10"/>
      <c r="J1794" s="10"/>
      <c r="K1794" s="10"/>
      <c r="L1794" s="10"/>
      <c r="M1794" s="10"/>
      <c r="N1794" s="10"/>
      <c r="O1794" s="3"/>
      <c r="P1794" s="10"/>
    </row>
    <row r="1795" spans="1:16" x14ac:dyDescent="0.15">
      <c r="A1795" s="10"/>
      <c r="B1795" s="3"/>
      <c r="C1795" s="10"/>
      <c r="D1795" s="10"/>
      <c r="E1795" s="10"/>
      <c r="F1795" s="10"/>
      <c r="G1795" s="10"/>
      <c r="H1795" s="10"/>
      <c r="I1795" s="10"/>
      <c r="J1795" s="10"/>
      <c r="K1795" s="10"/>
      <c r="L1795" s="10"/>
      <c r="M1795" s="10"/>
      <c r="N1795" s="10"/>
      <c r="O1795" s="3"/>
      <c r="P1795" s="10"/>
    </row>
    <row r="1796" spans="1:16" x14ac:dyDescent="0.15">
      <c r="A1796" s="10"/>
      <c r="B1796" s="3"/>
      <c r="C1796" s="10"/>
      <c r="D1796" s="10"/>
      <c r="E1796" s="10"/>
      <c r="F1796" s="10"/>
      <c r="G1796" s="10"/>
      <c r="H1796" s="10"/>
      <c r="I1796" s="10"/>
      <c r="J1796" s="10"/>
      <c r="K1796" s="10"/>
      <c r="L1796" s="10"/>
      <c r="M1796" s="10"/>
      <c r="N1796" s="10"/>
      <c r="O1796" s="3"/>
      <c r="P1796" s="10"/>
    </row>
    <row r="1797" spans="1:16" x14ac:dyDescent="0.15">
      <c r="A1797" s="10"/>
      <c r="B1797" s="3"/>
      <c r="C1797" s="10"/>
      <c r="D1797" s="10"/>
      <c r="E1797" s="10"/>
      <c r="F1797" s="10"/>
      <c r="G1797" s="10"/>
      <c r="H1797" s="10"/>
      <c r="I1797" s="10"/>
      <c r="J1797" s="10"/>
      <c r="K1797" s="10"/>
      <c r="L1797" s="10"/>
      <c r="M1797" s="10"/>
      <c r="N1797" s="10"/>
      <c r="O1797" s="3"/>
      <c r="P1797" s="10"/>
    </row>
    <row r="1798" spans="1:16" x14ac:dyDescent="0.15">
      <c r="A1798" s="10"/>
      <c r="B1798" s="3"/>
      <c r="C1798" s="10"/>
      <c r="D1798" s="10"/>
      <c r="E1798" s="10"/>
      <c r="F1798" s="10"/>
      <c r="G1798" s="10"/>
      <c r="H1798" s="10"/>
      <c r="I1798" s="10"/>
      <c r="J1798" s="10"/>
      <c r="K1798" s="10"/>
      <c r="L1798" s="10"/>
      <c r="M1798" s="10"/>
      <c r="N1798" s="10"/>
      <c r="O1798" s="3"/>
      <c r="P1798" s="10"/>
    </row>
    <row r="1799" spans="1:16" x14ac:dyDescent="0.15">
      <c r="A1799" s="10"/>
      <c r="B1799" s="3"/>
      <c r="C1799" s="10"/>
      <c r="D1799" s="10"/>
      <c r="E1799" s="10"/>
      <c r="F1799" s="10"/>
      <c r="G1799" s="10"/>
      <c r="H1799" s="10"/>
      <c r="I1799" s="10"/>
      <c r="J1799" s="10"/>
      <c r="K1799" s="10"/>
      <c r="L1799" s="10"/>
      <c r="M1799" s="10"/>
      <c r="N1799" s="10"/>
      <c r="O1799" s="3"/>
      <c r="P1799" s="10"/>
    </row>
    <row r="1800" spans="1:16" x14ac:dyDescent="0.15">
      <c r="A1800" s="10"/>
      <c r="B1800" s="3"/>
      <c r="C1800" s="10"/>
      <c r="D1800" s="10"/>
      <c r="E1800" s="10"/>
      <c r="F1800" s="10"/>
      <c r="G1800" s="10"/>
      <c r="H1800" s="10"/>
      <c r="I1800" s="10"/>
      <c r="J1800" s="10"/>
      <c r="K1800" s="10"/>
      <c r="L1800" s="10"/>
      <c r="M1800" s="10"/>
      <c r="N1800" s="10"/>
      <c r="O1800" s="3"/>
      <c r="P1800" s="10"/>
    </row>
    <row r="1801" spans="1:16" x14ac:dyDescent="0.15">
      <c r="A1801" s="10"/>
      <c r="B1801" s="3"/>
      <c r="C1801" s="10"/>
      <c r="D1801" s="10"/>
      <c r="E1801" s="10"/>
      <c r="F1801" s="10"/>
      <c r="G1801" s="10"/>
      <c r="H1801" s="10"/>
      <c r="I1801" s="10"/>
      <c r="J1801" s="10"/>
      <c r="K1801" s="10"/>
      <c r="L1801" s="10"/>
      <c r="M1801" s="10"/>
      <c r="N1801" s="10"/>
      <c r="O1801" s="3"/>
      <c r="P1801" s="10"/>
    </row>
    <row r="1802" spans="1:16" x14ac:dyDescent="0.15">
      <c r="A1802" s="10"/>
      <c r="B1802" s="3"/>
      <c r="C1802" s="10"/>
      <c r="D1802" s="10"/>
      <c r="E1802" s="10"/>
      <c r="F1802" s="10"/>
      <c r="G1802" s="10"/>
      <c r="H1802" s="10"/>
      <c r="I1802" s="10"/>
      <c r="J1802" s="10"/>
      <c r="K1802" s="10"/>
      <c r="L1802" s="10"/>
      <c r="M1802" s="10"/>
      <c r="N1802" s="10"/>
      <c r="O1802" s="3"/>
      <c r="P1802" s="10"/>
    </row>
    <row r="1803" spans="1:16" x14ac:dyDescent="0.15">
      <c r="A1803" s="10"/>
      <c r="B1803" s="3"/>
      <c r="C1803" s="10"/>
      <c r="D1803" s="10"/>
      <c r="E1803" s="10"/>
      <c r="F1803" s="10"/>
      <c r="G1803" s="10"/>
      <c r="H1803" s="10"/>
      <c r="I1803" s="10"/>
      <c r="J1803" s="10"/>
      <c r="K1803" s="10"/>
      <c r="L1803" s="10"/>
      <c r="M1803" s="10"/>
      <c r="N1803" s="10"/>
      <c r="O1803" s="3"/>
      <c r="P1803" s="10"/>
    </row>
    <row r="1804" spans="1:16" x14ac:dyDescent="0.15">
      <c r="A1804" s="10"/>
      <c r="B1804" s="3"/>
      <c r="C1804" s="10"/>
      <c r="D1804" s="10"/>
      <c r="E1804" s="10"/>
      <c r="F1804" s="10"/>
      <c r="G1804" s="10"/>
      <c r="H1804" s="10"/>
      <c r="I1804" s="10"/>
      <c r="J1804" s="10"/>
      <c r="K1804" s="10"/>
      <c r="L1804" s="10"/>
      <c r="M1804" s="10"/>
      <c r="N1804" s="10"/>
      <c r="O1804" s="3"/>
      <c r="P1804" s="10"/>
    </row>
    <row r="1805" spans="1:16" x14ac:dyDescent="0.15">
      <c r="A1805" s="10"/>
      <c r="B1805" s="3"/>
      <c r="C1805" s="10"/>
      <c r="D1805" s="10"/>
      <c r="E1805" s="10"/>
      <c r="F1805" s="10"/>
      <c r="G1805" s="10"/>
      <c r="H1805" s="10"/>
      <c r="I1805" s="10"/>
      <c r="J1805" s="10"/>
      <c r="K1805" s="10"/>
      <c r="L1805" s="10"/>
      <c r="M1805" s="10"/>
      <c r="N1805" s="10"/>
      <c r="O1805" s="3"/>
      <c r="P1805" s="10"/>
    </row>
    <row r="1806" spans="1:16" x14ac:dyDescent="0.15">
      <c r="A1806" s="10"/>
      <c r="B1806" s="3"/>
      <c r="C1806" s="10"/>
      <c r="D1806" s="10"/>
      <c r="E1806" s="10"/>
      <c r="F1806" s="10"/>
      <c r="G1806" s="10"/>
      <c r="H1806" s="10"/>
      <c r="I1806" s="10"/>
      <c r="J1806" s="10"/>
      <c r="K1806" s="10"/>
      <c r="L1806" s="10"/>
      <c r="M1806" s="10"/>
      <c r="N1806" s="10"/>
      <c r="O1806" s="3"/>
      <c r="P1806" s="10"/>
    </row>
    <row r="1807" spans="1:16" x14ac:dyDescent="0.15">
      <c r="A1807" s="10"/>
      <c r="B1807" s="3"/>
      <c r="C1807" s="10"/>
      <c r="D1807" s="10"/>
      <c r="E1807" s="10"/>
      <c r="F1807" s="10"/>
      <c r="G1807" s="10"/>
      <c r="H1807" s="10"/>
      <c r="I1807" s="10"/>
      <c r="J1807" s="10"/>
      <c r="K1807" s="10"/>
      <c r="L1807" s="10"/>
      <c r="M1807" s="10"/>
      <c r="N1807" s="10"/>
      <c r="O1807" s="3"/>
      <c r="P1807" s="10"/>
    </row>
    <row r="1808" spans="1:16" x14ac:dyDescent="0.15">
      <c r="A1808" s="10"/>
      <c r="B1808" s="3"/>
      <c r="C1808" s="10"/>
      <c r="D1808" s="10"/>
      <c r="E1808" s="10"/>
      <c r="F1808" s="10"/>
      <c r="G1808" s="10"/>
      <c r="H1808" s="10"/>
      <c r="I1808" s="10"/>
      <c r="J1808" s="10"/>
      <c r="K1808" s="10"/>
      <c r="L1808" s="10"/>
      <c r="M1808" s="10"/>
      <c r="N1808" s="10"/>
      <c r="O1808" s="3"/>
      <c r="P1808" s="10"/>
    </row>
    <row r="1809" spans="1:16" x14ac:dyDescent="0.15">
      <c r="A1809" s="10"/>
      <c r="B1809" s="3"/>
      <c r="C1809" s="10"/>
      <c r="D1809" s="10"/>
      <c r="E1809" s="10"/>
      <c r="F1809" s="10"/>
      <c r="G1809" s="10"/>
      <c r="H1809" s="10"/>
      <c r="I1809" s="10"/>
      <c r="J1809" s="10"/>
      <c r="K1809" s="10"/>
      <c r="L1809" s="10"/>
      <c r="M1809" s="10"/>
      <c r="N1809" s="10"/>
      <c r="O1809" s="3"/>
      <c r="P1809" s="10"/>
    </row>
    <row r="1810" spans="1:16" x14ac:dyDescent="0.15">
      <c r="A1810" s="10"/>
      <c r="B1810" s="3"/>
      <c r="C1810" s="10"/>
      <c r="D1810" s="10"/>
      <c r="E1810" s="10"/>
      <c r="F1810" s="10"/>
      <c r="G1810" s="10"/>
      <c r="H1810" s="10"/>
      <c r="I1810" s="10"/>
      <c r="J1810" s="10"/>
      <c r="K1810" s="10"/>
      <c r="L1810" s="10"/>
      <c r="M1810" s="10"/>
      <c r="N1810" s="10"/>
      <c r="O1810" s="3"/>
      <c r="P1810" s="10"/>
    </row>
    <row r="1811" spans="1:16" x14ac:dyDescent="0.15">
      <c r="A1811" s="10"/>
      <c r="B1811" s="3"/>
      <c r="C1811" s="10"/>
      <c r="D1811" s="10"/>
      <c r="E1811" s="10"/>
      <c r="F1811" s="10"/>
      <c r="G1811" s="10"/>
      <c r="H1811" s="10"/>
      <c r="I1811" s="10"/>
      <c r="J1811" s="10"/>
      <c r="K1811" s="10"/>
      <c r="L1811" s="10"/>
      <c r="M1811" s="10"/>
      <c r="N1811" s="10"/>
      <c r="O1811" s="3"/>
      <c r="P1811" s="10"/>
    </row>
    <row r="1812" spans="1:16" x14ac:dyDescent="0.15">
      <c r="A1812" s="10"/>
      <c r="B1812" s="3"/>
      <c r="C1812" s="10"/>
      <c r="D1812" s="10"/>
      <c r="E1812" s="10"/>
      <c r="F1812" s="10"/>
      <c r="G1812" s="10"/>
      <c r="H1812" s="10"/>
      <c r="I1812" s="10"/>
      <c r="J1812" s="10"/>
      <c r="K1812" s="10"/>
      <c r="L1812" s="10"/>
      <c r="M1812" s="10"/>
      <c r="N1812" s="10"/>
      <c r="O1812" s="3"/>
      <c r="P1812" s="10"/>
    </row>
    <row r="1813" spans="1:16" x14ac:dyDescent="0.15">
      <c r="A1813" s="10"/>
      <c r="B1813" s="3"/>
      <c r="C1813" s="10"/>
      <c r="D1813" s="10"/>
      <c r="E1813" s="10"/>
      <c r="F1813" s="10"/>
      <c r="G1813" s="10"/>
      <c r="H1813" s="10"/>
      <c r="I1813" s="10"/>
      <c r="J1813" s="10"/>
      <c r="K1813" s="10"/>
      <c r="L1813" s="10"/>
      <c r="M1813" s="10"/>
      <c r="N1813" s="10"/>
      <c r="O1813" s="3"/>
      <c r="P1813" s="10"/>
    </row>
    <row r="1814" spans="1:16" x14ac:dyDescent="0.15">
      <c r="A1814" s="10"/>
      <c r="B1814" s="3"/>
      <c r="C1814" s="10"/>
      <c r="D1814" s="10"/>
      <c r="E1814" s="10"/>
      <c r="F1814" s="10"/>
      <c r="G1814" s="10"/>
      <c r="H1814" s="10"/>
      <c r="I1814" s="10"/>
      <c r="J1814" s="10"/>
      <c r="K1814" s="10"/>
      <c r="L1814" s="10"/>
      <c r="M1814" s="10"/>
      <c r="N1814" s="10"/>
      <c r="O1814" s="3"/>
      <c r="P1814" s="10"/>
    </row>
    <row r="1815" spans="1:16" x14ac:dyDescent="0.15">
      <c r="A1815" s="10"/>
      <c r="B1815" s="3"/>
      <c r="C1815" s="10"/>
      <c r="D1815" s="10"/>
      <c r="E1815" s="10"/>
      <c r="F1815" s="10"/>
      <c r="G1815" s="10"/>
      <c r="H1815" s="10"/>
      <c r="I1815" s="10"/>
      <c r="J1815" s="10"/>
      <c r="K1815" s="10"/>
      <c r="L1815" s="10"/>
      <c r="M1815" s="10"/>
      <c r="N1815" s="10"/>
      <c r="O1815" s="3"/>
      <c r="P1815" s="10"/>
    </row>
    <row r="1816" spans="1:16" x14ac:dyDescent="0.15">
      <c r="A1816" s="10"/>
      <c r="B1816" s="3"/>
      <c r="C1816" s="10"/>
      <c r="D1816" s="10"/>
      <c r="E1816" s="10"/>
      <c r="F1816" s="10"/>
      <c r="G1816" s="10"/>
      <c r="H1816" s="10"/>
      <c r="I1816" s="10"/>
      <c r="J1816" s="10"/>
      <c r="K1816" s="10"/>
      <c r="L1816" s="10"/>
      <c r="M1816" s="10"/>
      <c r="N1816" s="10"/>
      <c r="O1816" s="3"/>
      <c r="P1816" s="10"/>
    </row>
    <row r="1817" spans="1:16" x14ac:dyDescent="0.15">
      <c r="A1817" s="10"/>
      <c r="B1817" s="3"/>
      <c r="C1817" s="10"/>
      <c r="D1817" s="10"/>
      <c r="E1817" s="10"/>
      <c r="F1817" s="10"/>
      <c r="G1817" s="10"/>
      <c r="H1817" s="10"/>
      <c r="I1817" s="10"/>
      <c r="J1817" s="10"/>
      <c r="K1817" s="10"/>
      <c r="L1817" s="10"/>
      <c r="M1817" s="10"/>
      <c r="N1817" s="10"/>
      <c r="O1817" s="3"/>
      <c r="P1817" s="10"/>
    </row>
    <row r="1818" spans="1:16" x14ac:dyDescent="0.15">
      <c r="A1818" s="10"/>
      <c r="B1818" s="3"/>
      <c r="C1818" s="10"/>
      <c r="D1818" s="10"/>
      <c r="E1818" s="10"/>
      <c r="F1818" s="10"/>
      <c r="G1818" s="10"/>
      <c r="H1818" s="10"/>
      <c r="I1818" s="10"/>
      <c r="J1818" s="10"/>
      <c r="K1818" s="10"/>
      <c r="L1818" s="10"/>
      <c r="M1818" s="10"/>
      <c r="N1818" s="10"/>
      <c r="O1818" s="3"/>
      <c r="P1818" s="10"/>
    </row>
    <row r="1819" spans="1:16" x14ac:dyDescent="0.15">
      <c r="A1819" s="10"/>
      <c r="B1819" s="3"/>
      <c r="C1819" s="10"/>
      <c r="D1819" s="10"/>
      <c r="E1819" s="10"/>
      <c r="F1819" s="10"/>
      <c r="G1819" s="10"/>
      <c r="H1819" s="10"/>
      <c r="I1819" s="10"/>
      <c r="J1819" s="10"/>
      <c r="K1819" s="10"/>
      <c r="L1819" s="10"/>
      <c r="M1819" s="10"/>
      <c r="N1819" s="10"/>
      <c r="O1819" s="3"/>
      <c r="P1819" s="10"/>
    </row>
    <row r="1820" spans="1:16" x14ac:dyDescent="0.15">
      <c r="A1820" s="10"/>
      <c r="B1820" s="3"/>
      <c r="C1820" s="10"/>
      <c r="D1820" s="10"/>
      <c r="E1820" s="10"/>
      <c r="F1820" s="10"/>
      <c r="G1820" s="10"/>
      <c r="H1820" s="10"/>
      <c r="I1820" s="10"/>
      <c r="J1820" s="10"/>
      <c r="K1820" s="10"/>
      <c r="L1820" s="10"/>
      <c r="M1820" s="10"/>
      <c r="N1820" s="10"/>
      <c r="O1820" s="3"/>
      <c r="P1820" s="10"/>
    </row>
    <row r="1821" spans="1:16" x14ac:dyDescent="0.15">
      <c r="A1821" s="10"/>
      <c r="B1821" s="3"/>
      <c r="C1821" s="10"/>
      <c r="D1821" s="10"/>
      <c r="E1821" s="10"/>
      <c r="F1821" s="10"/>
      <c r="G1821" s="10"/>
      <c r="H1821" s="10"/>
      <c r="I1821" s="10"/>
      <c r="J1821" s="10"/>
      <c r="K1821" s="10"/>
      <c r="L1821" s="10"/>
      <c r="M1821" s="10"/>
      <c r="N1821" s="10"/>
      <c r="O1821" s="3"/>
      <c r="P1821" s="10"/>
    </row>
    <row r="1822" spans="1:16" x14ac:dyDescent="0.15">
      <c r="A1822" s="10"/>
      <c r="B1822" s="3"/>
      <c r="C1822" s="10"/>
      <c r="D1822" s="10"/>
      <c r="E1822" s="10"/>
      <c r="F1822" s="10"/>
      <c r="G1822" s="10"/>
      <c r="H1822" s="10"/>
      <c r="I1822" s="10"/>
      <c r="J1822" s="10"/>
      <c r="K1822" s="10"/>
      <c r="L1822" s="10"/>
      <c r="M1822" s="10"/>
      <c r="N1822" s="10"/>
      <c r="O1822" s="3"/>
      <c r="P1822" s="10"/>
    </row>
    <row r="1823" spans="1:16" x14ac:dyDescent="0.15">
      <c r="A1823" s="10"/>
      <c r="B1823" s="3"/>
      <c r="C1823" s="10"/>
      <c r="D1823" s="10"/>
      <c r="E1823" s="10"/>
      <c r="F1823" s="10"/>
      <c r="G1823" s="10"/>
      <c r="H1823" s="10"/>
      <c r="I1823" s="10"/>
      <c r="J1823" s="10"/>
      <c r="K1823" s="10"/>
      <c r="L1823" s="10"/>
      <c r="M1823" s="10"/>
      <c r="N1823" s="10"/>
      <c r="O1823" s="3"/>
      <c r="P1823" s="10"/>
    </row>
    <row r="1824" spans="1:16" x14ac:dyDescent="0.15">
      <c r="A1824" s="10"/>
      <c r="B1824" s="3"/>
      <c r="C1824" s="10"/>
      <c r="D1824" s="10"/>
      <c r="E1824" s="10"/>
      <c r="F1824" s="10"/>
      <c r="G1824" s="10"/>
      <c r="H1824" s="10"/>
      <c r="I1824" s="10"/>
      <c r="J1824" s="10"/>
      <c r="K1824" s="10"/>
      <c r="L1824" s="10"/>
      <c r="M1824" s="10"/>
      <c r="N1824" s="10"/>
      <c r="O1824" s="3"/>
      <c r="P1824" s="10"/>
    </row>
    <row r="1825" spans="1:16" x14ac:dyDescent="0.15">
      <c r="A1825" s="10"/>
      <c r="B1825" s="3"/>
      <c r="C1825" s="10"/>
      <c r="D1825" s="10"/>
      <c r="E1825" s="10"/>
      <c r="F1825" s="10"/>
      <c r="G1825" s="10"/>
      <c r="H1825" s="10"/>
      <c r="I1825" s="10"/>
      <c r="J1825" s="10"/>
      <c r="K1825" s="10"/>
      <c r="L1825" s="10"/>
      <c r="M1825" s="10"/>
      <c r="N1825" s="10"/>
      <c r="O1825" s="3"/>
      <c r="P1825" s="10"/>
    </row>
    <row r="1826" spans="1:16" x14ac:dyDescent="0.15">
      <c r="A1826" s="10"/>
      <c r="B1826" s="3"/>
      <c r="C1826" s="10"/>
      <c r="D1826" s="10"/>
      <c r="E1826" s="10"/>
      <c r="F1826" s="10"/>
      <c r="G1826" s="10"/>
      <c r="H1826" s="10"/>
      <c r="I1826" s="10"/>
      <c r="J1826" s="10"/>
      <c r="K1826" s="10"/>
      <c r="L1826" s="10"/>
      <c r="M1826" s="10"/>
      <c r="N1826" s="10"/>
      <c r="O1826" s="3"/>
      <c r="P1826" s="10"/>
    </row>
    <row r="1827" spans="1:16" x14ac:dyDescent="0.15">
      <c r="A1827" s="10"/>
      <c r="B1827" s="3"/>
      <c r="C1827" s="10"/>
      <c r="D1827" s="10"/>
      <c r="E1827" s="10"/>
      <c r="F1827" s="10"/>
      <c r="G1827" s="10"/>
      <c r="H1827" s="10"/>
      <c r="I1827" s="10"/>
      <c r="J1827" s="10"/>
      <c r="K1827" s="10"/>
      <c r="L1827" s="10"/>
      <c r="M1827" s="10"/>
      <c r="N1827" s="10"/>
      <c r="O1827" s="3"/>
      <c r="P1827" s="10"/>
    </row>
    <row r="1828" spans="1:16" x14ac:dyDescent="0.15">
      <c r="A1828" s="10"/>
      <c r="B1828" s="3"/>
      <c r="C1828" s="10"/>
      <c r="D1828" s="10"/>
      <c r="E1828" s="10"/>
      <c r="F1828" s="10"/>
      <c r="G1828" s="10"/>
      <c r="H1828" s="10"/>
      <c r="I1828" s="10"/>
      <c r="J1828" s="10"/>
      <c r="K1828" s="10"/>
      <c r="L1828" s="10"/>
      <c r="M1828" s="10"/>
      <c r="N1828" s="10"/>
      <c r="O1828" s="3"/>
      <c r="P1828" s="10"/>
    </row>
    <row r="1829" spans="1:16" x14ac:dyDescent="0.15">
      <c r="A1829" s="10"/>
      <c r="B1829" s="3"/>
      <c r="C1829" s="10"/>
      <c r="D1829" s="10"/>
      <c r="E1829" s="10"/>
      <c r="F1829" s="10"/>
      <c r="G1829" s="10"/>
      <c r="H1829" s="10"/>
      <c r="I1829" s="10"/>
      <c r="J1829" s="10"/>
      <c r="K1829" s="10"/>
      <c r="L1829" s="10"/>
      <c r="M1829" s="10"/>
      <c r="N1829" s="10"/>
      <c r="O1829" s="3"/>
      <c r="P1829" s="10"/>
    </row>
    <row r="1830" spans="1:16" x14ac:dyDescent="0.15">
      <c r="A1830" s="10"/>
      <c r="B1830" s="3"/>
      <c r="C1830" s="10"/>
      <c r="D1830" s="10"/>
      <c r="E1830" s="10"/>
      <c r="F1830" s="10"/>
      <c r="G1830" s="10"/>
      <c r="H1830" s="10"/>
      <c r="I1830" s="10"/>
      <c r="J1830" s="10"/>
      <c r="K1830" s="10"/>
      <c r="L1830" s="10"/>
      <c r="M1830" s="10"/>
      <c r="N1830" s="10"/>
      <c r="O1830" s="3"/>
      <c r="P1830" s="10"/>
    </row>
    <row r="1831" spans="1:16" x14ac:dyDescent="0.15">
      <c r="A1831" s="10"/>
      <c r="B1831" s="3"/>
      <c r="C1831" s="10"/>
      <c r="D1831" s="10"/>
      <c r="E1831" s="10"/>
      <c r="F1831" s="10"/>
      <c r="G1831" s="10"/>
      <c r="H1831" s="10"/>
      <c r="I1831" s="10"/>
      <c r="J1831" s="10"/>
      <c r="K1831" s="10"/>
      <c r="L1831" s="10"/>
      <c r="M1831" s="10"/>
      <c r="N1831" s="10"/>
      <c r="O1831" s="3"/>
      <c r="P1831" s="10"/>
    </row>
    <row r="1832" spans="1:16" x14ac:dyDescent="0.15">
      <c r="A1832" s="10"/>
      <c r="B1832" s="3"/>
      <c r="C1832" s="10"/>
      <c r="D1832" s="10"/>
      <c r="E1832" s="10"/>
      <c r="F1832" s="10"/>
      <c r="G1832" s="10"/>
      <c r="H1832" s="10"/>
      <c r="I1832" s="10"/>
      <c r="J1832" s="10"/>
      <c r="K1832" s="10"/>
      <c r="L1832" s="10"/>
      <c r="M1832" s="10"/>
      <c r="N1832" s="10"/>
      <c r="O1832" s="3"/>
      <c r="P1832" s="10"/>
    </row>
    <row r="1833" spans="1:16" x14ac:dyDescent="0.15">
      <c r="A1833" s="10"/>
      <c r="B1833" s="3"/>
      <c r="C1833" s="10"/>
      <c r="D1833" s="10"/>
      <c r="E1833" s="10"/>
      <c r="F1833" s="10"/>
      <c r="G1833" s="10"/>
      <c r="H1833" s="10"/>
      <c r="I1833" s="10"/>
      <c r="J1833" s="10"/>
      <c r="K1833" s="10"/>
      <c r="L1833" s="10"/>
      <c r="M1833" s="10"/>
      <c r="N1833" s="10"/>
      <c r="O1833" s="3"/>
      <c r="P1833" s="10"/>
    </row>
    <row r="1834" spans="1:16" x14ac:dyDescent="0.15">
      <c r="A1834" s="10"/>
      <c r="B1834" s="3"/>
      <c r="C1834" s="10"/>
      <c r="D1834" s="10"/>
      <c r="E1834" s="10"/>
      <c r="F1834" s="10"/>
      <c r="G1834" s="10"/>
      <c r="H1834" s="10"/>
      <c r="I1834" s="10"/>
      <c r="J1834" s="10"/>
      <c r="K1834" s="10"/>
      <c r="L1834" s="10"/>
      <c r="M1834" s="10"/>
      <c r="N1834" s="10"/>
      <c r="O1834" s="3"/>
      <c r="P1834" s="10"/>
    </row>
    <row r="1835" spans="1:16" x14ac:dyDescent="0.15">
      <c r="A1835" s="10"/>
      <c r="B1835" s="3"/>
      <c r="C1835" s="10"/>
      <c r="D1835" s="10"/>
      <c r="E1835" s="10"/>
      <c r="F1835" s="10"/>
      <c r="G1835" s="10"/>
      <c r="H1835" s="10"/>
      <c r="I1835" s="10"/>
      <c r="J1835" s="10"/>
      <c r="K1835" s="10"/>
      <c r="L1835" s="10"/>
      <c r="M1835" s="10"/>
      <c r="N1835" s="10"/>
      <c r="O1835" s="3"/>
      <c r="P1835" s="10"/>
    </row>
    <row r="1836" spans="1:16" x14ac:dyDescent="0.15">
      <c r="A1836" s="10"/>
      <c r="B1836" s="3"/>
      <c r="C1836" s="10"/>
      <c r="D1836" s="10"/>
      <c r="E1836" s="10"/>
      <c r="F1836" s="10"/>
      <c r="G1836" s="10"/>
      <c r="H1836" s="10"/>
      <c r="I1836" s="10"/>
      <c r="J1836" s="10"/>
      <c r="K1836" s="10"/>
      <c r="L1836" s="10"/>
      <c r="M1836" s="10"/>
      <c r="N1836" s="10"/>
      <c r="O1836" s="3"/>
      <c r="P1836" s="10"/>
    </row>
    <row r="1837" spans="1:16" x14ac:dyDescent="0.15">
      <c r="A1837" s="10"/>
      <c r="B1837" s="3"/>
      <c r="C1837" s="10"/>
      <c r="D1837" s="10"/>
      <c r="E1837" s="10"/>
      <c r="F1837" s="10"/>
      <c r="G1837" s="10"/>
      <c r="H1837" s="10"/>
      <c r="I1837" s="10"/>
      <c r="J1837" s="10"/>
      <c r="K1837" s="10"/>
      <c r="L1837" s="10"/>
      <c r="M1837" s="10"/>
      <c r="N1837" s="10"/>
      <c r="O1837" s="3"/>
      <c r="P1837" s="10"/>
    </row>
    <row r="1838" spans="1:16" x14ac:dyDescent="0.15">
      <c r="A1838" s="10"/>
      <c r="B1838" s="3"/>
      <c r="C1838" s="10"/>
      <c r="D1838" s="10"/>
      <c r="E1838" s="10"/>
      <c r="F1838" s="10"/>
      <c r="G1838" s="10"/>
      <c r="H1838" s="10"/>
      <c r="I1838" s="10"/>
      <c r="J1838" s="10"/>
      <c r="K1838" s="10"/>
      <c r="L1838" s="10"/>
      <c r="M1838" s="10"/>
      <c r="N1838" s="10"/>
      <c r="O1838" s="3"/>
      <c r="P1838" s="10"/>
    </row>
    <row r="1839" spans="1:16" x14ac:dyDescent="0.15">
      <c r="A1839" s="10"/>
      <c r="B1839" s="3"/>
      <c r="C1839" s="10"/>
      <c r="D1839" s="10"/>
      <c r="E1839" s="10"/>
      <c r="F1839" s="10"/>
      <c r="G1839" s="10"/>
      <c r="H1839" s="10"/>
      <c r="I1839" s="10"/>
      <c r="J1839" s="10"/>
      <c r="K1839" s="10"/>
      <c r="L1839" s="10"/>
      <c r="M1839" s="10"/>
      <c r="N1839" s="10"/>
      <c r="O1839" s="3"/>
      <c r="P1839" s="10"/>
    </row>
    <row r="1840" spans="1:16" x14ac:dyDescent="0.15">
      <c r="A1840" s="10"/>
      <c r="B1840" s="3"/>
      <c r="C1840" s="10"/>
      <c r="D1840" s="10"/>
      <c r="E1840" s="10"/>
      <c r="F1840" s="10"/>
      <c r="G1840" s="10"/>
      <c r="H1840" s="10"/>
      <c r="I1840" s="10"/>
      <c r="J1840" s="10"/>
      <c r="K1840" s="10"/>
      <c r="L1840" s="10"/>
      <c r="M1840" s="10"/>
      <c r="N1840" s="10"/>
      <c r="O1840" s="3"/>
      <c r="P1840" s="10"/>
    </row>
    <row r="1841" spans="1:16" x14ac:dyDescent="0.15">
      <c r="A1841" s="10"/>
      <c r="B1841" s="3"/>
      <c r="C1841" s="10"/>
      <c r="D1841" s="10"/>
      <c r="E1841" s="10"/>
      <c r="F1841" s="10"/>
      <c r="G1841" s="10"/>
      <c r="H1841" s="10"/>
      <c r="I1841" s="10"/>
      <c r="J1841" s="10"/>
      <c r="K1841" s="10"/>
      <c r="L1841" s="10"/>
      <c r="M1841" s="10"/>
      <c r="N1841" s="10"/>
      <c r="O1841" s="3"/>
      <c r="P1841" s="10"/>
    </row>
    <row r="1842" spans="1:16" x14ac:dyDescent="0.15">
      <c r="A1842" s="10"/>
      <c r="B1842" s="3"/>
      <c r="C1842" s="10"/>
      <c r="D1842" s="10"/>
      <c r="E1842" s="10"/>
      <c r="F1842" s="10"/>
      <c r="G1842" s="10"/>
      <c r="H1842" s="10"/>
      <c r="I1842" s="10"/>
      <c r="J1842" s="10"/>
      <c r="K1842" s="10"/>
      <c r="L1842" s="10"/>
      <c r="M1842" s="10"/>
      <c r="N1842" s="10"/>
      <c r="O1842" s="3"/>
      <c r="P1842" s="10"/>
    </row>
    <row r="1843" spans="1:16" x14ac:dyDescent="0.15">
      <c r="A1843" s="10"/>
      <c r="B1843" s="3"/>
      <c r="C1843" s="10"/>
      <c r="D1843" s="10"/>
      <c r="E1843" s="10"/>
      <c r="F1843" s="10"/>
      <c r="G1843" s="10"/>
      <c r="H1843" s="10"/>
      <c r="I1843" s="10"/>
      <c r="J1843" s="10"/>
      <c r="K1843" s="10"/>
      <c r="L1843" s="10"/>
      <c r="M1843" s="10"/>
      <c r="N1843" s="10"/>
      <c r="O1843" s="3"/>
      <c r="P1843" s="10"/>
    </row>
    <row r="1844" spans="1:16" x14ac:dyDescent="0.15">
      <c r="A1844" s="10"/>
      <c r="B1844" s="3"/>
      <c r="C1844" s="10"/>
      <c r="D1844" s="10"/>
      <c r="E1844" s="10"/>
      <c r="F1844" s="10"/>
      <c r="G1844" s="10"/>
      <c r="H1844" s="10"/>
      <c r="I1844" s="10"/>
      <c r="J1844" s="10"/>
      <c r="K1844" s="10"/>
      <c r="L1844" s="10"/>
      <c r="M1844" s="10"/>
      <c r="N1844" s="10"/>
      <c r="O1844" s="3"/>
      <c r="P1844" s="10"/>
    </row>
    <row r="1845" spans="1:16" x14ac:dyDescent="0.15">
      <c r="A1845" s="10"/>
      <c r="B1845" s="3"/>
      <c r="C1845" s="10"/>
      <c r="D1845" s="10"/>
      <c r="E1845" s="10"/>
      <c r="F1845" s="10"/>
      <c r="G1845" s="10"/>
      <c r="H1845" s="10"/>
      <c r="I1845" s="10"/>
      <c r="J1845" s="10"/>
      <c r="K1845" s="10"/>
      <c r="L1845" s="10"/>
      <c r="M1845" s="10"/>
      <c r="N1845" s="10"/>
      <c r="O1845" s="3"/>
      <c r="P1845" s="10"/>
    </row>
    <row r="1846" spans="1:16" x14ac:dyDescent="0.15">
      <c r="A1846" s="10"/>
      <c r="B1846" s="3"/>
      <c r="C1846" s="10"/>
      <c r="D1846" s="10"/>
      <c r="E1846" s="10"/>
      <c r="F1846" s="10"/>
      <c r="G1846" s="10"/>
      <c r="H1846" s="10"/>
      <c r="I1846" s="10"/>
      <c r="J1846" s="10"/>
      <c r="K1846" s="10"/>
      <c r="L1846" s="10"/>
      <c r="M1846" s="10"/>
      <c r="N1846" s="10"/>
      <c r="O1846" s="3"/>
      <c r="P1846" s="10"/>
    </row>
    <row r="1847" spans="1:16" x14ac:dyDescent="0.15">
      <c r="A1847" s="10"/>
      <c r="B1847" s="3"/>
      <c r="C1847" s="10"/>
      <c r="D1847" s="10"/>
      <c r="E1847" s="10"/>
      <c r="F1847" s="10"/>
      <c r="G1847" s="10"/>
      <c r="H1847" s="10"/>
      <c r="I1847" s="10"/>
      <c r="J1847" s="10"/>
      <c r="K1847" s="10"/>
      <c r="L1847" s="10"/>
      <c r="M1847" s="10"/>
      <c r="N1847" s="10"/>
      <c r="O1847" s="3"/>
      <c r="P1847" s="10"/>
    </row>
    <row r="1848" spans="1:16" x14ac:dyDescent="0.15">
      <c r="A1848" s="10"/>
      <c r="B1848" s="3"/>
      <c r="C1848" s="10"/>
      <c r="D1848" s="10"/>
      <c r="E1848" s="10"/>
      <c r="F1848" s="10"/>
      <c r="G1848" s="10"/>
      <c r="H1848" s="10"/>
      <c r="I1848" s="10"/>
      <c r="J1848" s="10"/>
      <c r="K1848" s="10"/>
      <c r="L1848" s="10"/>
      <c r="M1848" s="10"/>
      <c r="N1848" s="10"/>
      <c r="O1848" s="3"/>
      <c r="P1848" s="10"/>
    </row>
    <row r="1849" spans="1:16" x14ac:dyDescent="0.15">
      <c r="A1849" s="10"/>
      <c r="B1849" s="3"/>
      <c r="C1849" s="10"/>
      <c r="D1849" s="10"/>
      <c r="E1849" s="10"/>
      <c r="F1849" s="10"/>
      <c r="G1849" s="10"/>
      <c r="H1849" s="10"/>
      <c r="I1849" s="10"/>
      <c r="J1849" s="10"/>
      <c r="K1849" s="10"/>
      <c r="L1849" s="10"/>
      <c r="M1849" s="10"/>
      <c r="N1849" s="10"/>
      <c r="O1849" s="3"/>
      <c r="P1849" s="10"/>
    </row>
    <row r="1850" spans="1:16" x14ac:dyDescent="0.15">
      <c r="A1850" s="10"/>
      <c r="B1850" s="3"/>
      <c r="C1850" s="10"/>
      <c r="D1850" s="10"/>
      <c r="E1850" s="10"/>
      <c r="F1850" s="10"/>
      <c r="G1850" s="10"/>
      <c r="H1850" s="10"/>
      <c r="I1850" s="10"/>
      <c r="J1850" s="10"/>
      <c r="K1850" s="10"/>
      <c r="L1850" s="10"/>
      <c r="M1850" s="10"/>
      <c r="N1850" s="10"/>
      <c r="O1850" s="3"/>
      <c r="P1850" s="10"/>
    </row>
    <row r="1851" spans="1:16" x14ac:dyDescent="0.15">
      <c r="A1851" s="10"/>
      <c r="B1851" s="3"/>
      <c r="C1851" s="10"/>
      <c r="D1851" s="10"/>
      <c r="E1851" s="10"/>
      <c r="F1851" s="10"/>
      <c r="G1851" s="10"/>
      <c r="H1851" s="10"/>
      <c r="I1851" s="10"/>
      <c r="J1851" s="10"/>
      <c r="K1851" s="10"/>
      <c r="L1851" s="10"/>
      <c r="M1851" s="10"/>
      <c r="N1851" s="10"/>
      <c r="O1851" s="3"/>
      <c r="P1851" s="10"/>
    </row>
    <row r="1852" spans="1:16" x14ac:dyDescent="0.15">
      <c r="A1852" s="10"/>
      <c r="B1852" s="3"/>
      <c r="C1852" s="10"/>
      <c r="D1852" s="10"/>
      <c r="E1852" s="10"/>
      <c r="F1852" s="10"/>
      <c r="G1852" s="10"/>
      <c r="H1852" s="10"/>
      <c r="I1852" s="10"/>
      <c r="J1852" s="10"/>
      <c r="K1852" s="10"/>
      <c r="L1852" s="10"/>
      <c r="M1852" s="10"/>
      <c r="N1852" s="10"/>
      <c r="O1852" s="3"/>
      <c r="P1852" s="10"/>
    </row>
    <row r="1853" spans="1:16" x14ac:dyDescent="0.15">
      <c r="A1853" s="10"/>
      <c r="B1853" s="3"/>
      <c r="C1853" s="10"/>
      <c r="D1853" s="10"/>
      <c r="E1853" s="10"/>
      <c r="F1853" s="10"/>
      <c r="G1853" s="10"/>
      <c r="H1853" s="10"/>
      <c r="I1853" s="10"/>
      <c r="J1853" s="10"/>
      <c r="K1853" s="10"/>
      <c r="L1853" s="10"/>
      <c r="M1853" s="10"/>
      <c r="N1853" s="10"/>
      <c r="O1853" s="3"/>
      <c r="P1853" s="10"/>
    </row>
    <row r="1854" spans="1:16" x14ac:dyDescent="0.15">
      <c r="A1854" s="10"/>
      <c r="B1854" s="3"/>
      <c r="C1854" s="10"/>
      <c r="D1854" s="10"/>
      <c r="E1854" s="10"/>
      <c r="F1854" s="10"/>
      <c r="G1854" s="10"/>
      <c r="H1854" s="10"/>
      <c r="I1854" s="10"/>
      <c r="J1854" s="10"/>
      <c r="K1854" s="10"/>
      <c r="L1854" s="10"/>
      <c r="M1854" s="10"/>
      <c r="N1854" s="10"/>
      <c r="O1854" s="3"/>
      <c r="P1854" s="10"/>
    </row>
    <row r="1855" spans="1:16" x14ac:dyDescent="0.15">
      <c r="A1855" s="10"/>
      <c r="B1855" s="3"/>
      <c r="C1855" s="10"/>
      <c r="D1855" s="10"/>
      <c r="E1855" s="10"/>
      <c r="F1855" s="10"/>
      <c r="G1855" s="10"/>
      <c r="H1855" s="10"/>
      <c r="I1855" s="10"/>
      <c r="J1855" s="10"/>
      <c r="K1855" s="10"/>
      <c r="L1855" s="10"/>
      <c r="M1855" s="10"/>
      <c r="N1855" s="10"/>
      <c r="O1855" s="3"/>
      <c r="P1855" s="10"/>
    </row>
    <row r="1856" spans="1:16" x14ac:dyDescent="0.15">
      <c r="A1856" s="10"/>
      <c r="B1856" s="3"/>
      <c r="C1856" s="10"/>
      <c r="D1856" s="10"/>
      <c r="E1856" s="10"/>
      <c r="F1856" s="10"/>
      <c r="G1856" s="10"/>
      <c r="H1856" s="10"/>
      <c r="I1856" s="10"/>
      <c r="J1856" s="10"/>
      <c r="K1856" s="10"/>
      <c r="L1856" s="10"/>
      <c r="M1856" s="10"/>
      <c r="N1856" s="10"/>
      <c r="O1856" s="3"/>
      <c r="P1856" s="10"/>
    </row>
    <row r="1857" spans="1:16" x14ac:dyDescent="0.15">
      <c r="A1857" s="10"/>
      <c r="B1857" s="3"/>
      <c r="C1857" s="10"/>
      <c r="D1857" s="10"/>
      <c r="E1857" s="10"/>
      <c r="F1857" s="10"/>
      <c r="G1857" s="10"/>
      <c r="H1857" s="10"/>
      <c r="I1857" s="10"/>
      <c r="J1857" s="10"/>
      <c r="K1857" s="10"/>
      <c r="L1857" s="10"/>
      <c r="M1857" s="10"/>
      <c r="N1857" s="10"/>
      <c r="O1857" s="3"/>
      <c r="P1857" s="10"/>
    </row>
    <row r="1858" spans="1:16" x14ac:dyDescent="0.15">
      <c r="A1858" s="10"/>
      <c r="B1858" s="3"/>
      <c r="C1858" s="10"/>
      <c r="D1858" s="10"/>
      <c r="E1858" s="10"/>
      <c r="F1858" s="10"/>
      <c r="G1858" s="10"/>
      <c r="H1858" s="10"/>
      <c r="I1858" s="10"/>
      <c r="J1858" s="10"/>
      <c r="K1858" s="10"/>
      <c r="L1858" s="10"/>
      <c r="M1858" s="10"/>
      <c r="N1858" s="10"/>
      <c r="O1858" s="3"/>
      <c r="P1858" s="10"/>
    </row>
    <row r="1859" spans="1:16" x14ac:dyDescent="0.15">
      <c r="A1859" s="10"/>
      <c r="B1859" s="3"/>
      <c r="C1859" s="10"/>
      <c r="D1859" s="10"/>
      <c r="E1859" s="10"/>
      <c r="F1859" s="10"/>
      <c r="G1859" s="10"/>
      <c r="H1859" s="10"/>
      <c r="I1859" s="10"/>
      <c r="J1859" s="10"/>
      <c r="K1859" s="10"/>
      <c r="L1859" s="10"/>
      <c r="M1859" s="10"/>
      <c r="N1859" s="10"/>
      <c r="O1859" s="3"/>
      <c r="P1859" s="10"/>
    </row>
    <row r="1860" spans="1:16" x14ac:dyDescent="0.15">
      <c r="A1860" s="10"/>
      <c r="B1860" s="3"/>
      <c r="C1860" s="10"/>
      <c r="D1860" s="10"/>
      <c r="E1860" s="10"/>
      <c r="F1860" s="10"/>
      <c r="G1860" s="10"/>
      <c r="H1860" s="10"/>
      <c r="I1860" s="10"/>
      <c r="J1860" s="10"/>
      <c r="K1860" s="10"/>
      <c r="L1860" s="10"/>
      <c r="M1860" s="10"/>
      <c r="N1860" s="10"/>
      <c r="O1860" s="3"/>
      <c r="P1860" s="10"/>
    </row>
    <row r="1861" spans="1:16" x14ac:dyDescent="0.15">
      <c r="A1861" s="10"/>
      <c r="B1861" s="3"/>
      <c r="C1861" s="10"/>
      <c r="D1861" s="10"/>
      <c r="E1861" s="10"/>
      <c r="F1861" s="10"/>
      <c r="G1861" s="10"/>
      <c r="H1861" s="10"/>
      <c r="I1861" s="10"/>
      <c r="J1861" s="10"/>
      <c r="K1861" s="10"/>
      <c r="L1861" s="10"/>
      <c r="M1861" s="10"/>
      <c r="N1861" s="10"/>
      <c r="O1861" s="3"/>
      <c r="P1861" s="10"/>
    </row>
    <row r="1862" spans="1:16" x14ac:dyDescent="0.15">
      <c r="A1862" s="10"/>
      <c r="B1862" s="3"/>
      <c r="C1862" s="10"/>
      <c r="D1862" s="10"/>
      <c r="E1862" s="10"/>
      <c r="F1862" s="10"/>
      <c r="G1862" s="10"/>
      <c r="H1862" s="10"/>
      <c r="I1862" s="10"/>
      <c r="J1862" s="10"/>
      <c r="K1862" s="10"/>
      <c r="L1862" s="10"/>
      <c r="M1862" s="10"/>
      <c r="N1862" s="10"/>
      <c r="O1862" s="3"/>
      <c r="P1862" s="10"/>
    </row>
    <row r="1863" spans="1:16" x14ac:dyDescent="0.15">
      <c r="A1863" s="10"/>
      <c r="B1863" s="3"/>
      <c r="C1863" s="10"/>
      <c r="D1863" s="10"/>
      <c r="E1863" s="10"/>
      <c r="F1863" s="10"/>
      <c r="G1863" s="10"/>
      <c r="H1863" s="10"/>
      <c r="I1863" s="10"/>
      <c r="J1863" s="10"/>
      <c r="K1863" s="10"/>
      <c r="L1863" s="10"/>
      <c r="M1863" s="10"/>
      <c r="N1863" s="10"/>
      <c r="O1863" s="3"/>
      <c r="P1863" s="10"/>
    </row>
    <row r="1864" spans="1:16" x14ac:dyDescent="0.15">
      <c r="A1864" s="10"/>
      <c r="B1864" s="3"/>
      <c r="C1864" s="10"/>
      <c r="D1864" s="10"/>
      <c r="E1864" s="10"/>
      <c r="F1864" s="10"/>
      <c r="G1864" s="10"/>
      <c r="H1864" s="10"/>
      <c r="I1864" s="10"/>
      <c r="J1864" s="10"/>
      <c r="K1864" s="10"/>
      <c r="L1864" s="10"/>
      <c r="M1864" s="10"/>
      <c r="N1864" s="10"/>
      <c r="O1864" s="3"/>
      <c r="P1864" s="10"/>
    </row>
    <row r="1865" spans="1:16" x14ac:dyDescent="0.15">
      <c r="A1865" s="10"/>
      <c r="B1865" s="3"/>
      <c r="C1865" s="10"/>
      <c r="D1865" s="10"/>
      <c r="E1865" s="10"/>
      <c r="F1865" s="10"/>
      <c r="G1865" s="10"/>
      <c r="H1865" s="10"/>
      <c r="I1865" s="10"/>
      <c r="J1865" s="10"/>
      <c r="K1865" s="10"/>
      <c r="L1865" s="10"/>
      <c r="M1865" s="10"/>
      <c r="N1865" s="10"/>
      <c r="O1865" s="3"/>
      <c r="P1865" s="10"/>
    </row>
    <row r="1866" spans="1:16" x14ac:dyDescent="0.15">
      <c r="A1866" s="10"/>
      <c r="B1866" s="3"/>
      <c r="C1866" s="10"/>
      <c r="D1866" s="10"/>
      <c r="E1866" s="10"/>
      <c r="F1866" s="10"/>
      <c r="G1866" s="10"/>
      <c r="H1866" s="10"/>
      <c r="I1866" s="10"/>
      <c r="J1866" s="10"/>
      <c r="K1866" s="10"/>
      <c r="L1866" s="10"/>
      <c r="M1866" s="10"/>
      <c r="N1866" s="10"/>
      <c r="O1866" s="3"/>
      <c r="P1866" s="10"/>
    </row>
    <row r="1867" spans="1:16" x14ac:dyDescent="0.15">
      <c r="A1867" s="10"/>
      <c r="B1867" s="3"/>
      <c r="C1867" s="10"/>
      <c r="D1867" s="10"/>
      <c r="E1867" s="10"/>
      <c r="F1867" s="10"/>
      <c r="G1867" s="10"/>
      <c r="H1867" s="10"/>
      <c r="I1867" s="10"/>
      <c r="J1867" s="10"/>
      <c r="K1867" s="10"/>
      <c r="L1867" s="10"/>
      <c r="M1867" s="10"/>
      <c r="N1867" s="10"/>
      <c r="O1867" s="3"/>
      <c r="P1867" s="10"/>
    </row>
    <row r="1868" spans="1:16" x14ac:dyDescent="0.15">
      <c r="A1868" s="10"/>
      <c r="B1868" s="3"/>
      <c r="C1868" s="10"/>
      <c r="D1868" s="10"/>
      <c r="E1868" s="10"/>
      <c r="F1868" s="10"/>
      <c r="G1868" s="10"/>
      <c r="H1868" s="10"/>
      <c r="I1868" s="10"/>
      <c r="J1868" s="10"/>
      <c r="K1868" s="10"/>
      <c r="L1868" s="10"/>
      <c r="M1868" s="10"/>
      <c r="N1868" s="10"/>
      <c r="O1868" s="3"/>
      <c r="P1868" s="10"/>
    </row>
    <row r="1869" spans="1:16" x14ac:dyDescent="0.15">
      <c r="A1869" s="10"/>
      <c r="B1869" s="3"/>
      <c r="C1869" s="10"/>
      <c r="D1869" s="10"/>
      <c r="E1869" s="10"/>
      <c r="F1869" s="10"/>
      <c r="G1869" s="10"/>
      <c r="H1869" s="10"/>
      <c r="I1869" s="10"/>
      <c r="J1869" s="10"/>
      <c r="K1869" s="10"/>
      <c r="L1869" s="10"/>
      <c r="M1869" s="10"/>
      <c r="N1869" s="10"/>
      <c r="O1869" s="3"/>
      <c r="P1869" s="10"/>
    </row>
    <row r="1870" spans="1:16" x14ac:dyDescent="0.15">
      <c r="A1870" s="10"/>
      <c r="B1870" s="3"/>
      <c r="C1870" s="10"/>
      <c r="D1870" s="10"/>
      <c r="E1870" s="10"/>
      <c r="F1870" s="10"/>
      <c r="G1870" s="10"/>
      <c r="H1870" s="10"/>
      <c r="I1870" s="10"/>
      <c r="J1870" s="10"/>
      <c r="K1870" s="10"/>
      <c r="L1870" s="10"/>
      <c r="M1870" s="10"/>
      <c r="N1870" s="10"/>
      <c r="O1870" s="3"/>
      <c r="P1870" s="10"/>
    </row>
    <row r="1871" spans="1:16" x14ac:dyDescent="0.15">
      <c r="A1871" s="10"/>
      <c r="B1871" s="3"/>
      <c r="C1871" s="10"/>
      <c r="D1871" s="10"/>
      <c r="E1871" s="10"/>
      <c r="F1871" s="10"/>
      <c r="G1871" s="10"/>
      <c r="H1871" s="10"/>
      <c r="I1871" s="10"/>
      <c r="J1871" s="10"/>
      <c r="K1871" s="10"/>
      <c r="L1871" s="10"/>
      <c r="M1871" s="10"/>
      <c r="N1871" s="10"/>
      <c r="O1871" s="3"/>
      <c r="P1871" s="10"/>
    </row>
    <row r="1872" spans="1:16" x14ac:dyDescent="0.15">
      <c r="A1872" s="10"/>
      <c r="B1872" s="3"/>
      <c r="C1872" s="10"/>
      <c r="D1872" s="10"/>
      <c r="E1872" s="10"/>
      <c r="F1872" s="10"/>
      <c r="G1872" s="10"/>
      <c r="H1872" s="10"/>
      <c r="I1872" s="10"/>
      <c r="J1872" s="10"/>
      <c r="K1872" s="10"/>
      <c r="L1872" s="10"/>
      <c r="M1872" s="10"/>
      <c r="N1872" s="10"/>
      <c r="O1872" s="3"/>
      <c r="P1872" s="10"/>
    </row>
    <row r="1873" spans="1:16" x14ac:dyDescent="0.15">
      <c r="A1873" s="10"/>
      <c r="B1873" s="3"/>
      <c r="C1873" s="10"/>
      <c r="D1873" s="10"/>
      <c r="E1873" s="10"/>
      <c r="F1873" s="10"/>
      <c r="G1873" s="10"/>
      <c r="H1873" s="10"/>
      <c r="I1873" s="10"/>
      <c r="J1873" s="10"/>
      <c r="K1873" s="10"/>
      <c r="L1873" s="10"/>
      <c r="M1873" s="10"/>
      <c r="N1873" s="10"/>
      <c r="O1873" s="3"/>
      <c r="P1873" s="10"/>
    </row>
    <row r="1874" spans="1:16" x14ac:dyDescent="0.15">
      <c r="A1874" s="10"/>
      <c r="B1874" s="3"/>
      <c r="C1874" s="10"/>
      <c r="D1874" s="10"/>
      <c r="E1874" s="10"/>
      <c r="F1874" s="10"/>
      <c r="G1874" s="10"/>
      <c r="H1874" s="10"/>
      <c r="I1874" s="10"/>
      <c r="J1874" s="10"/>
      <c r="K1874" s="10"/>
      <c r="L1874" s="10"/>
      <c r="M1874" s="10"/>
      <c r="N1874" s="10"/>
      <c r="O1874" s="3"/>
      <c r="P1874" s="10"/>
    </row>
    <row r="1875" spans="1:16" x14ac:dyDescent="0.15">
      <c r="A1875" s="10"/>
      <c r="B1875" s="3"/>
      <c r="C1875" s="10"/>
      <c r="D1875" s="10"/>
      <c r="E1875" s="10"/>
      <c r="F1875" s="10"/>
      <c r="G1875" s="10"/>
      <c r="H1875" s="10"/>
      <c r="I1875" s="10"/>
      <c r="J1875" s="10"/>
      <c r="K1875" s="10"/>
      <c r="L1875" s="10"/>
      <c r="M1875" s="10"/>
      <c r="N1875" s="10"/>
      <c r="O1875" s="3"/>
      <c r="P1875" s="10"/>
    </row>
    <row r="1876" spans="1:16" x14ac:dyDescent="0.15">
      <c r="A1876" s="10"/>
      <c r="B1876" s="3"/>
      <c r="C1876" s="10"/>
      <c r="D1876" s="10"/>
      <c r="E1876" s="10"/>
      <c r="F1876" s="10"/>
      <c r="G1876" s="10"/>
      <c r="H1876" s="10"/>
      <c r="I1876" s="10"/>
      <c r="J1876" s="10"/>
      <c r="K1876" s="10"/>
      <c r="L1876" s="10"/>
      <c r="M1876" s="10"/>
      <c r="N1876" s="10"/>
      <c r="O1876" s="3"/>
      <c r="P1876" s="10"/>
    </row>
    <row r="1877" spans="1:16" x14ac:dyDescent="0.15">
      <c r="A1877" s="10"/>
      <c r="B1877" s="3"/>
      <c r="C1877" s="10"/>
      <c r="D1877" s="10"/>
      <c r="E1877" s="10"/>
      <c r="F1877" s="10"/>
      <c r="G1877" s="10"/>
      <c r="H1877" s="10"/>
      <c r="I1877" s="10"/>
      <c r="J1877" s="10"/>
      <c r="K1877" s="10"/>
      <c r="L1877" s="10"/>
      <c r="M1877" s="10"/>
      <c r="N1877" s="10"/>
      <c r="O1877" s="3"/>
      <c r="P1877" s="10"/>
    </row>
    <row r="1878" spans="1:16" x14ac:dyDescent="0.15">
      <c r="A1878" s="10"/>
      <c r="B1878" s="3"/>
      <c r="C1878" s="10"/>
      <c r="D1878" s="10"/>
      <c r="E1878" s="10"/>
      <c r="F1878" s="10"/>
      <c r="G1878" s="10"/>
      <c r="H1878" s="10"/>
      <c r="I1878" s="10"/>
      <c r="J1878" s="10"/>
      <c r="K1878" s="10"/>
      <c r="L1878" s="10"/>
      <c r="M1878" s="10"/>
      <c r="N1878" s="10"/>
      <c r="O1878" s="3"/>
      <c r="P1878" s="10"/>
    </row>
    <row r="1879" spans="1:16" x14ac:dyDescent="0.15">
      <c r="A1879" s="10"/>
      <c r="B1879" s="3"/>
      <c r="C1879" s="10"/>
      <c r="D1879" s="10"/>
      <c r="E1879" s="10"/>
      <c r="F1879" s="10"/>
      <c r="G1879" s="10"/>
      <c r="H1879" s="10"/>
      <c r="I1879" s="10"/>
      <c r="J1879" s="10"/>
      <c r="K1879" s="10"/>
      <c r="L1879" s="10"/>
      <c r="M1879" s="10"/>
      <c r="N1879" s="10"/>
      <c r="O1879" s="3"/>
      <c r="P1879" s="10"/>
    </row>
    <row r="1880" spans="1:16" x14ac:dyDescent="0.15">
      <c r="A1880" s="10"/>
      <c r="B1880" s="3"/>
      <c r="C1880" s="10"/>
      <c r="D1880" s="10"/>
      <c r="E1880" s="10"/>
      <c r="F1880" s="10"/>
      <c r="G1880" s="10"/>
      <c r="H1880" s="10"/>
      <c r="I1880" s="10"/>
      <c r="J1880" s="10"/>
      <c r="K1880" s="10"/>
      <c r="L1880" s="10"/>
      <c r="M1880" s="10"/>
      <c r="N1880" s="10"/>
      <c r="O1880" s="3"/>
      <c r="P1880" s="10"/>
    </row>
    <row r="1881" spans="1:16" x14ac:dyDescent="0.15">
      <c r="A1881" s="10"/>
      <c r="B1881" s="3"/>
      <c r="C1881" s="10"/>
      <c r="D1881" s="10"/>
      <c r="E1881" s="10"/>
      <c r="F1881" s="10"/>
      <c r="G1881" s="10"/>
      <c r="H1881" s="10"/>
      <c r="I1881" s="10"/>
      <c r="J1881" s="10"/>
      <c r="K1881" s="10"/>
      <c r="L1881" s="10"/>
      <c r="M1881" s="10"/>
      <c r="N1881" s="10"/>
      <c r="O1881" s="3"/>
      <c r="P1881" s="10"/>
    </row>
    <row r="1882" spans="1:16" x14ac:dyDescent="0.15">
      <c r="A1882" s="10"/>
      <c r="B1882" s="3"/>
      <c r="C1882" s="10"/>
      <c r="D1882" s="10"/>
      <c r="E1882" s="10"/>
      <c r="F1882" s="10"/>
      <c r="G1882" s="10"/>
      <c r="H1882" s="10"/>
      <c r="I1882" s="10"/>
      <c r="J1882" s="10"/>
      <c r="K1882" s="10"/>
      <c r="L1882" s="10"/>
      <c r="M1882" s="10"/>
      <c r="N1882" s="10"/>
      <c r="O1882" s="3"/>
      <c r="P1882" s="10"/>
    </row>
    <row r="1883" spans="1:16" x14ac:dyDescent="0.15">
      <c r="A1883" s="10"/>
      <c r="B1883" s="3"/>
      <c r="C1883" s="10"/>
      <c r="D1883" s="10"/>
      <c r="E1883" s="10"/>
      <c r="F1883" s="10"/>
      <c r="G1883" s="10"/>
      <c r="H1883" s="10"/>
      <c r="I1883" s="10"/>
      <c r="J1883" s="10"/>
      <c r="K1883" s="10"/>
      <c r="L1883" s="10"/>
      <c r="M1883" s="10"/>
      <c r="N1883" s="10"/>
      <c r="O1883" s="3"/>
      <c r="P1883" s="10"/>
    </row>
    <row r="1884" spans="1:16" x14ac:dyDescent="0.15">
      <c r="A1884" s="10"/>
      <c r="B1884" s="3"/>
      <c r="C1884" s="10"/>
      <c r="D1884" s="10"/>
      <c r="E1884" s="10"/>
      <c r="F1884" s="10"/>
      <c r="G1884" s="10"/>
      <c r="H1884" s="10"/>
      <c r="I1884" s="10"/>
      <c r="J1884" s="10"/>
      <c r="K1884" s="10"/>
      <c r="L1884" s="10"/>
      <c r="M1884" s="10"/>
      <c r="N1884" s="10"/>
      <c r="O1884" s="3"/>
      <c r="P1884" s="10"/>
    </row>
    <row r="1885" spans="1:16" x14ac:dyDescent="0.15">
      <c r="A1885" s="10"/>
      <c r="B1885" s="3"/>
      <c r="C1885" s="10"/>
      <c r="D1885" s="10"/>
      <c r="E1885" s="10"/>
      <c r="F1885" s="10"/>
      <c r="G1885" s="10"/>
      <c r="H1885" s="10"/>
      <c r="I1885" s="10"/>
      <c r="J1885" s="10"/>
      <c r="K1885" s="10"/>
      <c r="L1885" s="10"/>
      <c r="M1885" s="10"/>
      <c r="N1885" s="10"/>
      <c r="O1885" s="3"/>
      <c r="P1885" s="10"/>
    </row>
    <row r="1886" spans="1:16" x14ac:dyDescent="0.15">
      <c r="A1886" s="10"/>
      <c r="B1886" s="3"/>
      <c r="C1886" s="10"/>
      <c r="D1886" s="10"/>
      <c r="E1886" s="10"/>
      <c r="F1886" s="10"/>
      <c r="G1886" s="10"/>
      <c r="H1886" s="10"/>
      <c r="I1886" s="10"/>
      <c r="J1886" s="10"/>
      <c r="K1886" s="10"/>
      <c r="L1886" s="10"/>
      <c r="M1886" s="10"/>
      <c r="N1886" s="10"/>
      <c r="O1886" s="3"/>
      <c r="P1886" s="10"/>
    </row>
    <row r="1887" spans="1:16" x14ac:dyDescent="0.15">
      <c r="A1887" s="10"/>
      <c r="B1887" s="3"/>
      <c r="C1887" s="10"/>
      <c r="D1887" s="10"/>
      <c r="E1887" s="10"/>
      <c r="F1887" s="10"/>
      <c r="G1887" s="10"/>
      <c r="H1887" s="10"/>
      <c r="I1887" s="10"/>
      <c r="J1887" s="10"/>
      <c r="K1887" s="10"/>
      <c r="L1887" s="10"/>
      <c r="M1887" s="10"/>
      <c r="N1887" s="10"/>
      <c r="O1887" s="3"/>
      <c r="P1887" s="10"/>
    </row>
    <row r="1888" spans="1:16" x14ac:dyDescent="0.15">
      <c r="A1888" s="10"/>
      <c r="B1888" s="3"/>
      <c r="C1888" s="10"/>
      <c r="D1888" s="10"/>
      <c r="E1888" s="10"/>
      <c r="F1888" s="10"/>
      <c r="G1888" s="10"/>
      <c r="H1888" s="10"/>
      <c r="I1888" s="10"/>
      <c r="J1888" s="10"/>
      <c r="K1888" s="10"/>
      <c r="L1888" s="10"/>
      <c r="M1888" s="10"/>
      <c r="N1888" s="10"/>
      <c r="O1888" s="3"/>
      <c r="P1888" s="10"/>
    </row>
    <row r="1889" spans="1:16" x14ac:dyDescent="0.15">
      <c r="A1889" s="10"/>
      <c r="B1889" s="3"/>
      <c r="C1889" s="10"/>
      <c r="D1889" s="10"/>
      <c r="E1889" s="10"/>
      <c r="F1889" s="10"/>
      <c r="G1889" s="10"/>
      <c r="H1889" s="10"/>
      <c r="I1889" s="10"/>
      <c r="J1889" s="10"/>
      <c r="K1889" s="10"/>
      <c r="L1889" s="10"/>
      <c r="M1889" s="10"/>
      <c r="N1889" s="10"/>
      <c r="O1889" s="3"/>
      <c r="P1889" s="10"/>
    </row>
    <row r="1890" spans="1:16" x14ac:dyDescent="0.15">
      <c r="A1890" s="10"/>
      <c r="B1890" s="3"/>
      <c r="C1890" s="10"/>
      <c r="D1890" s="10"/>
      <c r="E1890" s="10"/>
      <c r="F1890" s="10"/>
      <c r="G1890" s="10"/>
      <c r="H1890" s="10"/>
      <c r="I1890" s="10"/>
      <c r="J1890" s="10"/>
      <c r="K1890" s="10"/>
      <c r="L1890" s="10"/>
      <c r="M1890" s="10"/>
      <c r="N1890" s="10"/>
      <c r="O1890" s="3"/>
      <c r="P1890" s="10"/>
    </row>
    <row r="1891" spans="1:16" x14ac:dyDescent="0.15">
      <c r="A1891" s="10"/>
      <c r="B1891" s="3"/>
      <c r="C1891" s="10"/>
      <c r="D1891" s="10"/>
      <c r="E1891" s="10"/>
      <c r="F1891" s="10"/>
      <c r="G1891" s="10"/>
      <c r="H1891" s="10"/>
      <c r="I1891" s="10"/>
      <c r="J1891" s="10"/>
      <c r="K1891" s="10"/>
      <c r="L1891" s="10"/>
      <c r="M1891" s="10"/>
      <c r="N1891" s="10"/>
      <c r="O1891" s="3"/>
      <c r="P1891" s="10"/>
    </row>
    <row r="1892" spans="1:16" x14ac:dyDescent="0.15">
      <c r="A1892" s="10"/>
      <c r="B1892" s="3"/>
      <c r="C1892" s="10"/>
      <c r="D1892" s="10"/>
      <c r="E1892" s="10"/>
      <c r="F1892" s="10"/>
      <c r="G1892" s="10"/>
      <c r="H1892" s="10"/>
      <c r="I1892" s="10"/>
      <c r="J1892" s="10"/>
      <c r="K1892" s="10"/>
      <c r="L1892" s="10"/>
      <c r="M1892" s="10"/>
      <c r="N1892" s="10"/>
      <c r="O1892" s="3"/>
      <c r="P1892" s="10"/>
    </row>
    <row r="1893" spans="1:16" x14ac:dyDescent="0.15">
      <c r="A1893" s="10"/>
      <c r="B1893" s="3"/>
      <c r="C1893" s="10"/>
      <c r="D1893" s="10"/>
      <c r="E1893" s="10"/>
      <c r="F1893" s="10"/>
      <c r="G1893" s="10"/>
      <c r="H1893" s="10"/>
      <c r="I1893" s="10"/>
      <c r="J1893" s="10"/>
      <c r="K1893" s="10"/>
      <c r="L1893" s="10"/>
      <c r="M1893" s="10"/>
      <c r="N1893" s="10"/>
      <c r="O1893" s="3"/>
      <c r="P1893" s="10"/>
    </row>
    <row r="1894" spans="1:16" x14ac:dyDescent="0.15">
      <c r="A1894" s="10"/>
      <c r="B1894" s="3"/>
      <c r="C1894" s="10"/>
      <c r="D1894" s="10"/>
      <c r="E1894" s="10"/>
      <c r="F1894" s="10"/>
      <c r="G1894" s="10"/>
      <c r="H1894" s="10"/>
      <c r="I1894" s="10"/>
      <c r="J1894" s="10"/>
      <c r="K1894" s="10"/>
      <c r="L1894" s="10"/>
      <c r="M1894" s="10"/>
      <c r="N1894" s="10"/>
      <c r="O1894" s="3"/>
      <c r="P1894" s="10"/>
    </row>
    <row r="1895" spans="1:16" x14ac:dyDescent="0.15">
      <c r="A1895" s="10"/>
      <c r="B1895" s="3"/>
      <c r="C1895" s="10"/>
      <c r="D1895" s="10"/>
      <c r="E1895" s="10"/>
      <c r="F1895" s="10"/>
      <c r="G1895" s="10"/>
      <c r="H1895" s="10"/>
      <c r="I1895" s="10"/>
      <c r="J1895" s="10"/>
      <c r="K1895" s="10"/>
      <c r="L1895" s="10"/>
      <c r="M1895" s="10"/>
      <c r="N1895" s="10"/>
      <c r="O1895" s="3"/>
      <c r="P1895" s="10"/>
    </row>
    <row r="1896" spans="1:16" x14ac:dyDescent="0.15">
      <c r="A1896" s="10"/>
      <c r="B1896" s="3"/>
      <c r="C1896" s="10"/>
      <c r="D1896" s="10"/>
      <c r="E1896" s="10"/>
      <c r="F1896" s="10"/>
      <c r="G1896" s="10"/>
      <c r="H1896" s="10"/>
      <c r="I1896" s="10"/>
      <c r="J1896" s="10"/>
      <c r="K1896" s="10"/>
      <c r="L1896" s="10"/>
      <c r="M1896" s="10"/>
      <c r="N1896" s="10"/>
      <c r="O1896" s="3"/>
      <c r="P1896" s="10"/>
    </row>
    <row r="1897" spans="1:16" x14ac:dyDescent="0.15">
      <c r="A1897" s="10"/>
      <c r="B1897" s="3"/>
      <c r="C1897" s="10"/>
      <c r="D1897" s="10"/>
      <c r="E1897" s="10"/>
      <c r="F1897" s="10"/>
      <c r="G1897" s="10"/>
      <c r="H1897" s="10"/>
      <c r="I1897" s="10"/>
      <c r="J1897" s="10"/>
      <c r="K1897" s="10"/>
      <c r="L1897" s="10"/>
      <c r="M1897" s="10"/>
      <c r="N1897" s="10"/>
      <c r="O1897" s="3"/>
      <c r="P1897" s="10"/>
    </row>
    <row r="1898" spans="1:16" x14ac:dyDescent="0.15">
      <c r="A1898" s="10"/>
      <c r="B1898" s="3"/>
      <c r="C1898" s="10"/>
      <c r="D1898" s="10"/>
      <c r="E1898" s="10"/>
      <c r="F1898" s="10"/>
      <c r="G1898" s="10"/>
      <c r="H1898" s="10"/>
      <c r="I1898" s="10"/>
      <c r="J1898" s="10"/>
      <c r="K1898" s="10"/>
      <c r="L1898" s="10"/>
      <c r="M1898" s="10"/>
      <c r="N1898" s="10"/>
      <c r="O1898" s="3"/>
      <c r="P1898" s="10"/>
    </row>
    <row r="1899" spans="1:16" x14ac:dyDescent="0.15">
      <c r="A1899" s="10"/>
      <c r="B1899" s="3"/>
      <c r="C1899" s="10"/>
      <c r="D1899" s="10"/>
      <c r="E1899" s="10"/>
      <c r="F1899" s="10"/>
      <c r="G1899" s="10"/>
      <c r="H1899" s="10"/>
      <c r="I1899" s="10"/>
      <c r="J1899" s="10"/>
      <c r="K1899" s="10"/>
      <c r="L1899" s="10"/>
      <c r="M1899" s="10"/>
      <c r="N1899" s="10"/>
      <c r="O1899" s="3"/>
      <c r="P1899" s="10"/>
    </row>
    <row r="1900" spans="1:16" x14ac:dyDescent="0.15">
      <c r="A1900" s="10"/>
      <c r="B1900" s="3"/>
      <c r="C1900" s="10"/>
      <c r="D1900" s="10"/>
      <c r="E1900" s="10"/>
      <c r="F1900" s="10"/>
      <c r="G1900" s="10"/>
      <c r="H1900" s="10"/>
      <c r="I1900" s="10"/>
      <c r="J1900" s="10"/>
      <c r="K1900" s="10"/>
      <c r="L1900" s="10"/>
      <c r="M1900" s="10"/>
      <c r="N1900" s="10"/>
      <c r="O1900" s="3"/>
      <c r="P1900" s="10"/>
    </row>
    <row r="1901" spans="1:16" x14ac:dyDescent="0.15">
      <c r="A1901" s="10"/>
      <c r="B1901" s="3"/>
      <c r="C1901" s="10"/>
      <c r="D1901" s="10"/>
      <c r="E1901" s="10"/>
      <c r="F1901" s="10"/>
      <c r="G1901" s="10"/>
      <c r="H1901" s="10"/>
      <c r="I1901" s="10"/>
      <c r="J1901" s="10"/>
      <c r="K1901" s="10"/>
      <c r="L1901" s="10"/>
      <c r="M1901" s="10"/>
      <c r="N1901" s="10"/>
      <c r="O1901" s="3"/>
      <c r="P1901" s="10"/>
    </row>
    <row r="1902" spans="1:16" x14ac:dyDescent="0.15">
      <c r="A1902" s="10"/>
      <c r="B1902" s="3"/>
      <c r="C1902" s="10"/>
      <c r="D1902" s="10"/>
      <c r="E1902" s="10"/>
      <c r="F1902" s="10"/>
      <c r="G1902" s="10"/>
      <c r="H1902" s="10"/>
      <c r="I1902" s="10"/>
      <c r="J1902" s="10"/>
      <c r="K1902" s="10"/>
      <c r="L1902" s="10"/>
      <c r="M1902" s="10"/>
      <c r="N1902" s="10"/>
      <c r="O1902" s="3"/>
      <c r="P1902" s="10"/>
    </row>
    <row r="1903" spans="1:16" x14ac:dyDescent="0.15">
      <c r="A1903" s="10"/>
      <c r="B1903" s="3"/>
      <c r="C1903" s="10"/>
      <c r="D1903" s="10"/>
      <c r="E1903" s="10"/>
      <c r="F1903" s="10"/>
      <c r="G1903" s="10"/>
      <c r="H1903" s="10"/>
      <c r="I1903" s="10"/>
      <c r="J1903" s="10"/>
      <c r="K1903" s="10"/>
      <c r="L1903" s="10"/>
      <c r="M1903" s="10"/>
      <c r="N1903" s="10"/>
      <c r="O1903" s="3"/>
      <c r="P1903" s="10"/>
    </row>
    <row r="1904" spans="1:16" x14ac:dyDescent="0.15">
      <c r="A1904" s="10"/>
      <c r="B1904" s="3"/>
      <c r="C1904" s="10"/>
      <c r="D1904" s="10"/>
      <c r="E1904" s="10"/>
      <c r="F1904" s="10"/>
      <c r="G1904" s="10"/>
      <c r="H1904" s="10"/>
      <c r="I1904" s="10"/>
      <c r="J1904" s="10"/>
      <c r="K1904" s="10"/>
      <c r="L1904" s="10"/>
      <c r="M1904" s="10"/>
      <c r="N1904" s="10"/>
      <c r="O1904" s="3"/>
      <c r="P1904" s="10"/>
    </row>
    <row r="1905" spans="1:16" x14ac:dyDescent="0.15">
      <c r="A1905" s="10"/>
      <c r="B1905" s="3"/>
      <c r="C1905" s="10"/>
      <c r="D1905" s="10"/>
      <c r="E1905" s="10"/>
      <c r="F1905" s="10"/>
      <c r="G1905" s="10"/>
      <c r="H1905" s="10"/>
      <c r="I1905" s="10"/>
      <c r="J1905" s="10"/>
      <c r="K1905" s="10"/>
      <c r="L1905" s="10"/>
      <c r="M1905" s="10"/>
      <c r="N1905" s="10"/>
      <c r="O1905" s="3"/>
      <c r="P1905" s="10"/>
    </row>
    <row r="1906" spans="1:16" x14ac:dyDescent="0.15">
      <c r="A1906" s="10"/>
      <c r="B1906" s="3"/>
      <c r="C1906" s="10"/>
      <c r="D1906" s="10"/>
      <c r="E1906" s="10"/>
      <c r="F1906" s="10"/>
      <c r="G1906" s="10"/>
      <c r="H1906" s="10"/>
      <c r="I1906" s="10"/>
      <c r="J1906" s="10"/>
      <c r="K1906" s="10"/>
      <c r="L1906" s="10"/>
      <c r="M1906" s="10"/>
      <c r="N1906" s="10"/>
      <c r="O1906" s="3"/>
      <c r="P1906" s="10"/>
    </row>
    <row r="1907" spans="1:16" x14ac:dyDescent="0.15">
      <c r="A1907" s="10"/>
      <c r="B1907" s="3"/>
      <c r="C1907" s="10"/>
      <c r="D1907" s="10"/>
      <c r="E1907" s="10"/>
      <c r="F1907" s="10"/>
      <c r="G1907" s="10"/>
      <c r="H1907" s="10"/>
      <c r="I1907" s="10"/>
      <c r="J1907" s="10"/>
      <c r="K1907" s="10"/>
      <c r="L1907" s="10"/>
      <c r="M1907" s="10"/>
      <c r="N1907" s="10"/>
      <c r="O1907" s="3"/>
      <c r="P1907" s="10"/>
    </row>
    <row r="1908" spans="1:16" x14ac:dyDescent="0.15">
      <c r="A1908" s="10"/>
      <c r="B1908" s="3"/>
      <c r="C1908" s="10"/>
      <c r="D1908" s="10"/>
      <c r="E1908" s="10"/>
      <c r="F1908" s="10"/>
      <c r="G1908" s="10"/>
      <c r="H1908" s="10"/>
      <c r="I1908" s="10"/>
      <c r="J1908" s="10"/>
      <c r="K1908" s="10"/>
      <c r="L1908" s="10"/>
      <c r="M1908" s="10"/>
      <c r="N1908" s="10"/>
      <c r="O1908" s="3"/>
      <c r="P1908" s="10"/>
    </row>
    <row r="1909" spans="1:16" x14ac:dyDescent="0.15">
      <c r="A1909" s="10"/>
      <c r="B1909" s="3"/>
      <c r="C1909" s="10"/>
      <c r="D1909" s="10"/>
      <c r="E1909" s="10"/>
      <c r="F1909" s="10"/>
      <c r="G1909" s="10"/>
      <c r="H1909" s="10"/>
      <c r="I1909" s="10"/>
      <c r="J1909" s="10"/>
      <c r="K1909" s="10"/>
      <c r="L1909" s="10"/>
      <c r="M1909" s="10"/>
      <c r="N1909" s="10"/>
      <c r="O1909" s="3"/>
      <c r="P1909" s="10"/>
    </row>
    <row r="1910" spans="1:16" x14ac:dyDescent="0.15">
      <c r="A1910" s="10"/>
      <c r="B1910" s="3"/>
      <c r="C1910" s="10"/>
      <c r="D1910" s="10"/>
      <c r="E1910" s="10"/>
      <c r="F1910" s="10"/>
      <c r="G1910" s="10"/>
      <c r="H1910" s="10"/>
      <c r="I1910" s="10"/>
      <c r="J1910" s="10"/>
      <c r="K1910" s="10"/>
      <c r="L1910" s="10"/>
      <c r="M1910" s="10"/>
      <c r="N1910" s="10"/>
      <c r="O1910" s="3"/>
      <c r="P1910" s="10"/>
    </row>
    <row r="1911" spans="1:16" x14ac:dyDescent="0.15">
      <c r="A1911" s="10"/>
      <c r="B1911" s="3"/>
      <c r="C1911" s="10"/>
      <c r="D1911" s="10"/>
      <c r="E1911" s="10"/>
      <c r="F1911" s="10"/>
      <c r="G1911" s="10"/>
      <c r="H1911" s="10"/>
      <c r="I1911" s="10"/>
      <c r="J1911" s="10"/>
      <c r="K1911" s="10"/>
      <c r="L1911" s="10"/>
      <c r="M1911" s="10"/>
      <c r="N1911" s="10"/>
      <c r="O1911" s="3"/>
      <c r="P1911" s="10"/>
    </row>
    <row r="1912" spans="1:16" x14ac:dyDescent="0.15">
      <c r="A1912" s="10"/>
      <c r="B1912" s="3"/>
      <c r="C1912" s="10"/>
      <c r="D1912" s="10"/>
      <c r="E1912" s="10"/>
      <c r="F1912" s="10"/>
      <c r="G1912" s="10"/>
      <c r="H1912" s="10"/>
      <c r="I1912" s="10"/>
      <c r="J1912" s="10"/>
      <c r="K1912" s="10"/>
      <c r="L1912" s="10"/>
      <c r="M1912" s="10"/>
      <c r="N1912" s="10"/>
      <c r="O1912" s="3"/>
      <c r="P1912" s="10"/>
    </row>
    <row r="1913" spans="1:16" x14ac:dyDescent="0.15">
      <c r="A1913" s="10"/>
      <c r="B1913" s="3"/>
      <c r="C1913" s="10"/>
      <c r="D1913" s="10"/>
      <c r="E1913" s="10"/>
      <c r="F1913" s="10"/>
      <c r="G1913" s="10"/>
      <c r="H1913" s="10"/>
      <c r="I1913" s="10"/>
      <c r="J1913" s="10"/>
      <c r="K1913" s="10"/>
      <c r="L1913" s="10"/>
      <c r="M1913" s="10"/>
      <c r="N1913" s="10"/>
      <c r="O1913" s="3"/>
      <c r="P1913" s="10"/>
    </row>
    <row r="1914" spans="1:16" x14ac:dyDescent="0.15">
      <c r="A1914" s="10"/>
      <c r="B1914" s="3"/>
      <c r="C1914" s="10"/>
      <c r="D1914" s="10"/>
      <c r="E1914" s="10"/>
      <c r="F1914" s="10"/>
      <c r="G1914" s="10"/>
      <c r="H1914" s="10"/>
      <c r="I1914" s="10"/>
      <c r="J1914" s="10"/>
      <c r="K1914" s="10"/>
      <c r="L1914" s="10"/>
      <c r="M1914" s="10"/>
      <c r="N1914" s="10"/>
      <c r="O1914" s="3"/>
      <c r="P1914" s="10"/>
    </row>
    <row r="1915" spans="1:16" x14ac:dyDescent="0.15">
      <c r="A1915" s="10"/>
      <c r="B1915" s="3"/>
      <c r="C1915" s="10"/>
      <c r="D1915" s="10"/>
      <c r="E1915" s="10"/>
      <c r="F1915" s="10"/>
      <c r="G1915" s="10"/>
      <c r="H1915" s="10"/>
      <c r="I1915" s="10"/>
      <c r="J1915" s="10"/>
      <c r="K1915" s="10"/>
      <c r="L1915" s="10"/>
      <c r="M1915" s="10"/>
      <c r="N1915" s="10"/>
      <c r="O1915" s="3"/>
      <c r="P1915" s="10"/>
    </row>
    <row r="1916" spans="1:16" x14ac:dyDescent="0.15">
      <c r="A1916" s="10"/>
      <c r="B1916" s="3"/>
      <c r="C1916" s="10"/>
      <c r="D1916" s="10"/>
      <c r="E1916" s="10"/>
      <c r="F1916" s="10"/>
      <c r="G1916" s="10"/>
      <c r="H1916" s="10"/>
      <c r="I1916" s="10"/>
      <c r="J1916" s="10"/>
      <c r="K1916" s="10"/>
      <c r="L1916" s="10"/>
      <c r="M1916" s="10"/>
      <c r="N1916" s="10"/>
      <c r="O1916" s="3"/>
      <c r="P1916" s="10"/>
    </row>
    <row r="1917" spans="1:16" x14ac:dyDescent="0.15">
      <c r="A1917" s="10"/>
      <c r="B1917" s="3"/>
      <c r="C1917" s="10"/>
      <c r="D1917" s="10"/>
      <c r="E1917" s="10"/>
      <c r="F1917" s="10"/>
      <c r="G1917" s="10"/>
      <c r="H1917" s="10"/>
      <c r="I1917" s="10"/>
      <c r="J1917" s="10"/>
      <c r="K1917" s="10"/>
      <c r="L1917" s="10"/>
      <c r="M1917" s="10"/>
      <c r="N1917" s="10"/>
      <c r="O1917" s="3"/>
      <c r="P1917" s="10"/>
    </row>
    <row r="1918" spans="1:16" x14ac:dyDescent="0.15">
      <c r="A1918" s="10"/>
      <c r="B1918" s="3"/>
      <c r="C1918" s="10"/>
      <c r="D1918" s="10"/>
      <c r="E1918" s="10"/>
      <c r="F1918" s="10"/>
      <c r="G1918" s="10"/>
      <c r="H1918" s="10"/>
      <c r="I1918" s="10"/>
      <c r="J1918" s="10"/>
      <c r="K1918" s="10"/>
      <c r="L1918" s="10"/>
      <c r="M1918" s="10"/>
      <c r="N1918" s="10"/>
      <c r="O1918" s="3"/>
      <c r="P1918" s="10"/>
    </row>
    <row r="1919" spans="1:16" x14ac:dyDescent="0.15">
      <c r="A1919" s="10"/>
      <c r="B1919" s="3"/>
      <c r="C1919" s="10"/>
      <c r="D1919" s="10"/>
      <c r="E1919" s="10"/>
      <c r="F1919" s="10"/>
      <c r="G1919" s="10"/>
      <c r="H1919" s="10"/>
      <c r="I1919" s="10"/>
      <c r="J1919" s="10"/>
      <c r="K1919" s="10"/>
      <c r="L1919" s="10"/>
      <c r="M1919" s="10"/>
      <c r="N1919" s="10"/>
      <c r="O1919" s="3"/>
      <c r="P1919" s="10"/>
    </row>
    <row r="1920" spans="1:16" x14ac:dyDescent="0.15">
      <c r="A1920" s="10"/>
      <c r="B1920" s="3"/>
      <c r="C1920" s="10"/>
      <c r="D1920" s="10"/>
      <c r="E1920" s="10"/>
      <c r="F1920" s="10"/>
      <c r="G1920" s="10"/>
      <c r="H1920" s="10"/>
      <c r="I1920" s="10"/>
      <c r="J1920" s="10"/>
      <c r="K1920" s="10"/>
      <c r="L1920" s="10"/>
      <c r="M1920" s="10"/>
      <c r="N1920" s="10"/>
      <c r="O1920" s="3"/>
      <c r="P1920" s="10"/>
    </row>
    <row r="1921" spans="1:16" x14ac:dyDescent="0.15">
      <c r="A1921" s="10"/>
      <c r="B1921" s="3"/>
      <c r="C1921" s="10"/>
      <c r="D1921" s="10"/>
      <c r="E1921" s="10"/>
      <c r="F1921" s="10"/>
      <c r="G1921" s="10"/>
      <c r="H1921" s="10"/>
      <c r="I1921" s="10"/>
      <c r="J1921" s="10"/>
      <c r="K1921" s="10"/>
      <c r="L1921" s="10"/>
      <c r="M1921" s="10"/>
      <c r="N1921" s="10"/>
      <c r="O1921" s="3"/>
      <c r="P1921" s="10"/>
    </row>
    <row r="1922" spans="1:16" x14ac:dyDescent="0.15">
      <c r="A1922" s="10"/>
      <c r="B1922" s="3"/>
      <c r="C1922" s="10"/>
      <c r="D1922" s="10"/>
      <c r="E1922" s="10"/>
      <c r="F1922" s="10"/>
      <c r="G1922" s="10"/>
      <c r="H1922" s="10"/>
      <c r="I1922" s="10"/>
      <c r="J1922" s="10"/>
      <c r="K1922" s="10"/>
      <c r="L1922" s="10"/>
      <c r="M1922" s="10"/>
      <c r="N1922" s="10"/>
      <c r="O1922" s="3"/>
      <c r="P1922" s="10"/>
    </row>
    <row r="1923" spans="1:16" x14ac:dyDescent="0.15">
      <c r="A1923" s="10"/>
      <c r="B1923" s="3"/>
      <c r="C1923" s="10"/>
      <c r="D1923" s="10"/>
      <c r="E1923" s="10"/>
      <c r="F1923" s="10"/>
      <c r="G1923" s="10"/>
      <c r="H1923" s="10"/>
      <c r="I1923" s="10"/>
      <c r="J1923" s="10"/>
      <c r="K1923" s="10"/>
      <c r="L1923" s="10"/>
      <c r="M1923" s="10"/>
      <c r="N1923" s="10"/>
      <c r="O1923" s="3"/>
      <c r="P1923" s="10"/>
    </row>
    <row r="1924" spans="1:16" x14ac:dyDescent="0.15">
      <c r="A1924" s="10"/>
      <c r="B1924" s="3"/>
      <c r="C1924" s="10"/>
      <c r="D1924" s="10"/>
      <c r="E1924" s="10"/>
      <c r="F1924" s="10"/>
      <c r="G1924" s="10"/>
      <c r="H1924" s="10"/>
      <c r="I1924" s="10"/>
      <c r="J1924" s="10"/>
      <c r="K1924" s="10"/>
      <c r="L1924" s="10"/>
      <c r="M1924" s="10"/>
      <c r="N1924" s="10"/>
      <c r="O1924" s="3"/>
      <c r="P1924" s="10"/>
    </row>
    <row r="1925" spans="1:16" x14ac:dyDescent="0.15">
      <c r="A1925" s="10"/>
      <c r="B1925" s="3"/>
      <c r="C1925" s="10"/>
      <c r="D1925" s="10"/>
      <c r="E1925" s="10"/>
      <c r="F1925" s="10"/>
      <c r="G1925" s="10"/>
      <c r="H1925" s="10"/>
      <c r="I1925" s="10"/>
      <c r="J1925" s="10"/>
      <c r="K1925" s="10"/>
      <c r="L1925" s="10"/>
      <c r="M1925" s="10"/>
      <c r="N1925" s="10"/>
      <c r="O1925" s="3"/>
      <c r="P1925" s="10"/>
    </row>
    <row r="1926" spans="1:16" x14ac:dyDescent="0.15">
      <c r="A1926" s="10"/>
      <c r="B1926" s="3"/>
      <c r="C1926" s="10"/>
      <c r="D1926" s="10"/>
      <c r="E1926" s="10"/>
      <c r="F1926" s="10"/>
      <c r="G1926" s="10"/>
      <c r="H1926" s="10"/>
      <c r="I1926" s="10"/>
      <c r="J1926" s="10"/>
      <c r="K1926" s="10"/>
      <c r="L1926" s="10"/>
      <c r="M1926" s="10"/>
      <c r="N1926" s="10"/>
      <c r="O1926" s="3"/>
      <c r="P1926" s="10"/>
    </row>
    <row r="1927" spans="1:16" x14ac:dyDescent="0.15">
      <c r="A1927" s="10"/>
      <c r="B1927" s="3"/>
      <c r="C1927" s="10"/>
      <c r="D1927" s="10"/>
      <c r="E1927" s="10"/>
      <c r="F1927" s="10"/>
      <c r="G1927" s="10"/>
      <c r="H1927" s="10"/>
      <c r="I1927" s="10"/>
      <c r="J1927" s="10"/>
      <c r="K1927" s="10"/>
      <c r="L1927" s="10"/>
      <c r="M1927" s="10"/>
      <c r="N1927" s="10"/>
      <c r="O1927" s="3"/>
      <c r="P1927" s="10"/>
    </row>
    <row r="1928" spans="1:16" x14ac:dyDescent="0.15">
      <c r="A1928" s="10"/>
      <c r="B1928" s="3"/>
      <c r="C1928" s="10"/>
      <c r="D1928" s="10"/>
      <c r="E1928" s="10"/>
      <c r="F1928" s="10"/>
      <c r="G1928" s="10"/>
      <c r="H1928" s="10"/>
      <c r="I1928" s="10"/>
      <c r="J1928" s="10"/>
      <c r="K1928" s="10"/>
      <c r="L1928" s="10"/>
      <c r="M1928" s="10"/>
      <c r="N1928" s="10"/>
      <c r="O1928" s="3"/>
      <c r="P1928" s="10"/>
    </row>
    <row r="1929" spans="1:16" x14ac:dyDescent="0.15">
      <c r="A1929" s="10"/>
      <c r="B1929" s="3"/>
      <c r="C1929" s="10"/>
      <c r="D1929" s="10"/>
      <c r="E1929" s="10"/>
      <c r="F1929" s="10"/>
      <c r="G1929" s="10"/>
      <c r="H1929" s="10"/>
      <c r="I1929" s="10"/>
      <c r="J1929" s="10"/>
      <c r="K1929" s="10"/>
      <c r="L1929" s="10"/>
      <c r="M1929" s="10"/>
      <c r="N1929" s="10"/>
      <c r="O1929" s="3"/>
      <c r="P1929" s="10"/>
    </row>
    <row r="1930" spans="1:16" x14ac:dyDescent="0.15">
      <c r="A1930" s="10"/>
      <c r="B1930" s="3"/>
      <c r="C1930" s="10"/>
      <c r="D1930" s="10"/>
      <c r="E1930" s="10"/>
      <c r="F1930" s="10"/>
      <c r="G1930" s="10"/>
      <c r="H1930" s="10"/>
      <c r="I1930" s="10"/>
      <c r="J1930" s="10"/>
      <c r="K1930" s="10"/>
      <c r="L1930" s="10"/>
      <c r="M1930" s="10"/>
      <c r="N1930" s="10"/>
      <c r="O1930" s="3"/>
      <c r="P1930" s="10"/>
    </row>
    <row r="1931" spans="1:16" x14ac:dyDescent="0.15">
      <c r="A1931" s="10"/>
      <c r="B1931" s="3"/>
      <c r="C1931" s="10"/>
      <c r="D1931" s="10"/>
      <c r="E1931" s="10"/>
      <c r="F1931" s="10"/>
      <c r="G1931" s="10"/>
      <c r="H1931" s="10"/>
      <c r="I1931" s="10"/>
      <c r="J1931" s="10"/>
      <c r="K1931" s="10"/>
      <c r="L1931" s="10"/>
      <c r="M1931" s="10"/>
      <c r="N1931" s="10"/>
      <c r="O1931" s="3"/>
      <c r="P1931" s="10"/>
    </row>
    <row r="1932" spans="1:16" x14ac:dyDescent="0.15">
      <c r="A1932" s="10"/>
      <c r="B1932" s="3"/>
      <c r="C1932" s="10"/>
      <c r="D1932" s="10"/>
      <c r="E1932" s="10"/>
      <c r="F1932" s="10"/>
      <c r="G1932" s="10"/>
      <c r="H1932" s="10"/>
      <c r="I1932" s="10"/>
      <c r="J1932" s="10"/>
      <c r="K1932" s="10"/>
      <c r="L1932" s="10"/>
      <c r="M1932" s="10"/>
      <c r="N1932" s="10"/>
      <c r="O1932" s="3"/>
      <c r="P1932" s="10"/>
    </row>
    <row r="1933" spans="1:16" x14ac:dyDescent="0.15">
      <c r="A1933" s="10"/>
      <c r="B1933" s="3"/>
      <c r="C1933" s="10"/>
      <c r="D1933" s="10"/>
      <c r="E1933" s="10"/>
      <c r="F1933" s="10"/>
      <c r="G1933" s="10"/>
      <c r="H1933" s="10"/>
      <c r="I1933" s="10"/>
      <c r="J1933" s="10"/>
      <c r="K1933" s="10"/>
      <c r="L1933" s="10"/>
      <c r="M1933" s="10"/>
      <c r="N1933" s="10"/>
      <c r="O1933" s="3"/>
      <c r="P1933" s="10"/>
    </row>
    <row r="1934" spans="1:16" x14ac:dyDescent="0.15">
      <c r="A1934" s="10"/>
      <c r="B1934" s="3"/>
      <c r="C1934" s="10"/>
      <c r="D1934" s="10"/>
      <c r="E1934" s="10"/>
      <c r="F1934" s="10"/>
      <c r="G1934" s="10"/>
      <c r="H1934" s="10"/>
      <c r="I1934" s="10"/>
      <c r="J1934" s="10"/>
      <c r="K1934" s="10"/>
      <c r="L1934" s="10"/>
      <c r="M1934" s="10"/>
      <c r="N1934" s="10"/>
      <c r="O1934" s="3"/>
      <c r="P1934" s="10"/>
    </row>
    <row r="1935" spans="1:16" x14ac:dyDescent="0.15">
      <c r="A1935" s="10"/>
      <c r="B1935" s="3"/>
      <c r="C1935" s="10"/>
      <c r="D1935" s="10"/>
      <c r="E1935" s="10"/>
      <c r="F1935" s="10"/>
      <c r="G1935" s="10"/>
      <c r="H1935" s="10"/>
      <c r="I1935" s="10"/>
      <c r="J1935" s="10"/>
      <c r="K1935" s="10"/>
      <c r="L1935" s="10"/>
      <c r="M1935" s="10"/>
      <c r="N1935" s="10"/>
      <c r="O1935" s="3"/>
      <c r="P1935" s="10"/>
    </row>
    <row r="1936" spans="1:16" x14ac:dyDescent="0.15">
      <c r="A1936" s="10"/>
      <c r="B1936" s="3"/>
      <c r="C1936" s="10"/>
      <c r="D1936" s="10"/>
      <c r="E1936" s="10"/>
      <c r="F1936" s="10"/>
      <c r="G1936" s="10"/>
      <c r="H1936" s="10"/>
      <c r="I1936" s="10"/>
      <c r="J1936" s="10"/>
      <c r="K1936" s="10"/>
      <c r="L1936" s="10"/>
      <c r="M1936" s="10"/>
      <c r="N1936" s="10"/>
      <c r="O1936" s="3"/>
      <c r="P1936" s="10"/>
    </row>
    <row r="1937" spans="1:16" x14ac:dyDescent="0.15">
      <c r="A1937" s="10"/>
      <c r="B1937" s="3"/>
      <c r="C1937" s="10"/>
      <c r="D1937" s="10"/>
      <c r="E1937" s="10"/>
      <c r="F1937" s="10"/>
      <c r="G1937" s="10"/>
      <c r="H1937" s="10"/>
      <c r="I1937" s="10"/>
      <c r="J1937" s="10"/>
      <c r="K1937" s="10"/>
      <c r="L1937" s="10"/>
      <c r="M1937" s="10"/>
      <c r="N1937" s="10"/>
      <c r="O1937" s="3"/>
      <c r="P1937" s="10"/>
    </row>
    <row r="1938" spans="1:16" x14ac:dyDescent="0.15">
      <c r="A1938" s="10"/>
      <c r="B1938" s="3"/>
      <c r="C1938" s="10"/>
      <c r="D1938" s="10"/>
      <c r="E1938" s="10"/>
      <c r="F1938" s="10"/>
      <c r="G1938" s="10"/>
      <c r="H1938" s="10"/>
      <c r="I1938" s="10"/>
      <c r="J1938" s="10"/>
      <c r="K1938" s="10"/>
      <c r="L1938" s="10"/>
      <c r="M1938" s="10"/>
      <c r="N1938" s="10"/>
      <c r="O1938" s="3"/>
      <c r="P1938" s="10"/>
    </row>
    <row r="1939" spans="1:16" x14ac:dyDescent="0.15">
      <c r="A1939" s="10"/>
      <c r="B1939" s="3"/>
      <c r="C1939" s="10"/>
      <c r="D1939" s="10"/>
      <c r="E1939" s="10"/>
      <c r="F1939" s="10"/>
      <c r="G1939" s="10"/>
      <c r="H1939" s="10"/>
      <c r="I1939" s="10"/>
      <c r="J1939" s="10"/>
      <c r="K1939" s="10"/>
      <c r="L1939" s="10"/>
      <c r="M1939" s="10"/>
      <c r="N1939" s="10"/>
      <c r="O1939" s="3"/>
      <c r="P1939" s="10"/>
    </row>
    <row r="1940" spans="1:16" x14ac:dyDescent="0.15">
      <c r="A1940" s="10"/>
      <c r="B1940" s="3"/>
      <c r="C1940" s="10"/>
      <c r="D1940" s="10"/>
      <c r="E1940" s="10"/>
      <c r="F1940" s="10"/>
      <c r="G1940" s="10"/>
      <c r="H1940" s="10"/>
      <c r="I1940" s="10"/>
      <c r="J1940" s="10"/>
      <c r="K1940" s="10"/>
      <c r="L1940" s="10"/>
      <c r="M1940" s="10"/>
      <c r="N1940" s="10"/>
      <c r="O1940" s="3"/>
      <c r="P1940" s="10"/>
    </row>
    <row r="1941" spans="1:16" x14ac:dyDescent="0.15">
      <c r="A1941" s="10"/>
      <c r="B1941" s="3"/>
      <c r="C1941" s="10"/>
      <c r="D1941" s="10"/>
      <c r="E1941" s="10"/>
      <c r="F1941" s="10"/>
      <c r="G1941" s="10"/>
      <c r="H1941" s="10"/>
      <c r="I1941" s="10"/>
      <c r="J1941" s="10"/>
      <c r="K1941" s="10"/>
      <c r="L1941" s="10"/>
      <c r="M1941" s="10"/>
      <c r="N1941" s="10"/>
      <c r="O1941" s="3"/>
      <c r="P1941" s="10"/>
    </row>
    <row r="1942" spans="1:16" x14ac:dyDescent="0.15">
      <c r="A1942" s="10"/>
      <c r="B1942" s="3"/>
      <c r="C1942" s="10"/>
      <c r="D1942" s="10"/>
      <c r="E1942" s="10"/>
      <c r="F1942" s="10"/>
      <c r="G1942" s="10"/>
      <c r="H1942" s="10"/>
      <c r="I1942" s="10"/>
      <c r="J1942" s="10"/>
      <c r="K1942" s="10"/>
      <c r="L1942" s="10"/>
      <c r="M1942" s="10"/>
      <c r="N1942" s="10"/>
      <c r="O1942" s="3"/>
      <c r="P1942" s="10"/>
    </row>
    <row r="1943" spans="1:16" x14ac:dyDescent="0.15">
      <c r="A1943" s="10"/>
      <c r="B1943" s="3"/>
      <c r="C1943" s="10"/>
      <c r="D1943" s="10"/>
      <c r="E1943" s="10"/>
      <c r="F1943" s="10"/>
      <c r="G1943" s="10"/>
      <c r="H1943" s="10"/>
      <c r="I1943" s="10"/>
      <c r="J1943" s="10"/>
      <c r="K1943" s="10"/>
      <c r="L1943" s="10"/>
      <c r="M1943" s="10"/>
      <c r="N1943" s="10"/>
      <c r="O1943" s="3"/>
      <c r="P1943" s="10"/>
    </row>
    <row r="1944" spans="1:16" x14ac:dyDescent="0.15">
      <c r="A1944" s="10"/>
      <c r="B1944" s="3"/>
      <c r="C1944" s="10"/>
      <c r="D1944" s="10"/>
      <c r="E1944" s="10"/>
      <c r="F1944" s="10"/>
      <c r="G1944" s="10"/>
      <c r="H1944" s="10"/>
      <c r="I1944" s="10"/>
      <c r="J1944" s="10"/>
      <c r="K1944" s="10"/>
      <c r="L1944" s="10"/>
      <c r="M1944" s="10"/>
      <c r="N1944" s="10"/>
      <c r="O1944" s="3"/>
      <c r="P1944" s="10"/>
    </row>
    <row r="1945" spans="1:16" x14ac:dyDescent="0.15">
      <c r="A1945" s="10"/>
      <c r="B1945" s="3"/>
      <c r="C1945" s="10"/>
      <c r="D1945" s="10"/>
      <c r="E1945" s="10"/>
      <c r="F1945" s="10"/>
      <c r="G1945" s="10"/>
      <c r="H1945" s="10"/>
      <c r="I1945" s="10"/>
      <c r="J1945" s="10"/>
      <c r="K1945" s="10"/>
      <c r="L1945" s="10"/>
      <c r="M1945" s="10"/>
      <c r="N1945" s="10"/>
      <c r="O1945" s="3"/>
      <c r="P1945" s="10"/>
    </row>
    <row r="1946" spans="1:16" x14ac:dyDescent="0.15">
      <c r="A1946" s="10"/>
      <c r="B1946" s="3"/>
      <c r="C1946" s="10"/>
      <c r="D1946" s="10"/>
      <c r="E1946" s="10"/>
      <c r="F1946" s="10"/>
      <c r="G1946" s="10"/>
      <c r="H1946" s="10"/>
      <c r="I1946" s="10"/>
      <c r="J1946" s="10"/>
      <c r="K1946" s="10"/>
      <c r="L1946" s="10"/>
      <c r="M1946" s="10"/>
      <c r="N1946" s="10"/>
      <c r="O1946" s="3"/>
      <c r="P1946" s="10"/>
    </row>
    <row r="1947" spans="1:16" x14ac:dyDescent="0.15">
      <c r="A1947" s="10"/>
      <c r="B1947" s="3"/>
      <c r="C1947" s="10"/>
      <c r="D1947" s="10"/>
      <c r="E1947" s="10"/>
      <c r="F1947" s="10"/>
      <c r="G1947" s="10"/>
      <c r="H1947" s="10"/>
      <c r="I1947" s="10"/>
      <c r="J1947" s="10"/>
      <c r="K1947" s="10"/>
      <c r="L1947" s="10"/>
      <c r="M1947" s="10"/>
      <c r="N1947" s="10"/>
      <c r="O1947" s="3"/>
      <c r="P1947" s="10"/>
    </row>
    <row r="1948" spans="1:16" x14ac:dyDescent="0.15">
      <c r="A1948" s="10"/>
      <c r="B1948" s="3"/>
      <c r="C1948" s="10"/>
      <c r="D1948" s="10"/>
      <c r="E1948" s="10"/>
      <c r="F1948" s="10"/>
      <c r="G1948" s="10"/>
      <c r="H1948" s="10"/>
      <c r="I1948" s="10"/>
      <c r="J1948" s="10"/>
      <c r="K1948" s="10"/>
      <c r="L1948" s="10"/>
      <c r="M1948" s="10"/>
      <c r="N1948" s="10"/>
      <c r="O1948" s="3"/>
      <c r="P1948" s="10"/>
    </row>
    <row r="1949" spans="1:16" x14ac:dyDescent="0.15">
      <c r="A1949" s="10"/>
      <c r="B1949" s="3"/>
      <c r="C1949" s="10"/>
      <c r="D1949" s="10"/>
      <c r="E1949" s="10"/>
      <c r="F1949" s="10"/>
      <c r="G1949" s="10"/>
      <c r="H1949" s="10"/>
      <c r="I1949" s="10"/>
      <c r="J1949" s="10"/>
      <c r="K1949" s="10"/>
      <c r="L1949" s="10"/>
      <c r="M1949" s="10"/>
      <c r="N1949" s="10"/>
      <c r="O1949" s="3"/>
      <c r="P1949" s="10"/>
    </row>
    <row r="1950" spans="1:16" x14ac:dyDescent="0.15">
      <c r="A1950" s="10"/>
      <c r="B1950" s="3"/>
      <c r="C1950" s="10"/>
      <c r="D1950" s="10"/>
      <c r="E1950" s="10"/>
      <c r="F1950" s="10"/>
      <c r="G1950" s="10"/>
      <c r="H1950" s="10"/>
      <c r="I1950" s="10"/>
      <c r="J1950" s="10"/>
      <c r="K1950" s="10"/>
      <c r="L1950" s="10"/>
      <c r="M1950" s="10"/>
      <c r="N1950" s="10"/>
      <c r="O1950" s="3"/>
      <c r="P1950" s="10"/>
    </row>
    <row r="1951" spans="1:16" x14ac:dyDescent="0.15">
      <c r="A1951" s="10"/>
      <c r="B1951" s="3"/>
      <c r="C1951" s="10"/>
      <c r="D1951" s="10"/>
      <c r="E1951" s="10"/>
      <c r="F1951" s="10"/>
      <c r="G1951" s="10"/>
      <c r="H1951" s="10"/>
      <c r="I1951" s="10"/>
      <c r="J1951" s="10"/>
      <c r="K1951" s="10"/>
      <c r="L1951" s="10"/>
      <c r="M1951" s="10"/>
      <c r="N1951" s="10"/>
      <c r="O1951" s="3"/>
      <c r="P1951" s="10"/>
    </row>
    <row r="1952" spans="1:16" x14ac:dyDescent="0.15">
      <c r="A1952" s="10"/>
      <c r="B1952" s="3"/>
      <c r="C1952" s="10"/>
      <c r="D1952" s="10"/>
      <c r="E1952" s="10"/>
      <c r="F1952" s="10"/>
      <c r="G1952" s="10"/>
      <c r="H1952" s="10"/>
      <c r="I1952" s="10"/>
      <c r="J1952" s="10"/>
      <c r="K1952" s="10"/>
      <c r="L1952" s="10"/>
      <c r="M1952" s="10"/>
      <c r="N1952" s="10"/>
      <c r="O1952" s="3"/>
      <c r="P1952" s="10"/>
    </row>
    <row r="1953" spans="1:16" x14ac:dyDescent="0.15">
      <c r="A1953" s="10"/>
      <c r="B1953" s="3"/>
      <c r="C1953" s="10"/>
      <c r="D1953" s="10"/>
      <c r="E1953" s="10"/>
      <c r="F1953" s="10"/>
      <c r="G1953" s="10"/>
      <c r="H1953" s="10"/>
      <c r="I1953" s="10"/>
      <c r="J1953" s="10"/>
      <c r="K1953" s="10"/>
      <c r="L1953" s="10"/>
      <c r="M1953" s="10"/>
      <c r="N1953" s="10"/>
      <c r="O1953" s="3"/>
      <c r="P1953" s="10"/>
    </row>
    <row r="1954" spans="1:16" x14ac:dyDescent="0.15">
      <c r="A1954" s="10"/>
      <c r="B1954" s="3"/>
      <c r="C1954" s="10"/>
      <c r="D1954" s="10"/>
      <c r="E1954" s="10"/>
      <c r="F1954" s="10"/>
      <c r="G1954" s="10"/>
      <c r="H1954" s="10"/>
      <c r="I1954" s="10"/>
      <c r="J1954" s="10"/>
      <c r="K1954" s="10"/>
      <c r="L1954" s="10"/>
      <c r="M1954" s="10"/>
      <c r="N1954" s="10"/>
      <c r="O1954" s="3"/>
      <c r="P1954" s="10"/>
    </row>
    <row r="1955" spans="1:16" x14ac:dyDescent="0.15">
      <c r="A1955" s="10"/>
      <c r="B1955" s="3"/>
      <c r="C1955" s="10"/>
      <c r="D1955" s="10"/>
      <c r="E1955" s="10"/>
      <c r="F1955" s="10"/>
      <c r="G1955" s="10"/>
      <c r="H1955" s="10"/>
      <c r="I1955" s="10"/>
      <c r="J1955" s="10"/>
      <c r="K1955" s="10"/>
      <c r="L1955" s="10"/>
      <c r="M1955" s="10"/>
      <c r="N1955" s="10"/>
      <c r="O1955" s="3"/>
      <c r="P1955" s="10"/>
    </row>
    <row r="1956" spans="1:16" x14ac:dyDescent="0.15">
      <c r="A1956" s="10"/>
      <c r="B1956" s="3"/>
      <c r="C1956" s="10"/>
      <c r="D1956" s="10"/>
      <c r="E1956" s="10"/>
      <c r="F1956" s="10"/>
      <c r="G1956" s="10"/>
      <c r="H1956" s="10"/>
      <c r="I1956" s="10"/>
      <c r="J1956" s="10"/>
      <c r="K1956" s="10"/>
      <c r="L1956" s="10"/>
      <c r="M1956" s="10"/>
      <c r="N1956" s="10"/>
      <c r="O1956" s="3"/>
      <c r="P1956" s="10"/>
    </row>
    <row r="1957" spans="1:16" x14ac:dyDescent="0.15">
      <c r="A1957" s="10"/>
      <c r="B1957" s="3"/>
      <c r="C1957" s="10"/>
      <c r="D1957" s="10"/>
      <c r="E1957" s="10"/>
      <c r="F1957" s="10"/>
      <c r="G1957" s="10"/>
      <c r="H1957" s="10"/>
      <c r="I1957" s="10"/>
      <c r="J1957" s="10"/>
      <c r="K1957" s="10"/>
      <c r="L1957" s="10"/>
      <c r="M1957" s="10"/>
      <c r="N1957" s="10"/>
      <c r="O1957" s="3"/>
      <c r="P1957" s="10"/>
    </row>
    <row r="1958" spans="1:16" x14ac:dyDescent="0.15">
      <c r="A1958" s="10"/>
      <c r="B1958" s="3"/>
      <c r="C1958" s="10"/>
      <c r="D1958" s="10"/>
      <c r="E1958" s="10"/>
      <c r="F1958" s="10"/>
      <c r="G1958" s="10"/>
      <c r="H1958" s="10"/>
      <c r="I1958" s="10"/>
      <c r="J1958" s="10"/>
      <c r="K1958" s="10"/>
      <c r="L1958" s="10"/>
      <c r="M1958" s="10"/>
      <c r="N1958" s="10"/>
      <c r="O1958" s="3"/>
      <c r="P1958" s="10"/>
    </row>
    <row r="1959" spans="1:16" x14ac:dyDescent="0.15">
      <c r="A1959" s="10"/>
      <c r="B1959" s="3"/>
      <c r="C1959" s="10"/>
      <c r="D1959" s="10"/>
      <c r="E1959" s="10"/>
      <c r="F1959" s="10"/>
      <c r="G1959" s="10"/>
      <c r="H1959" s="10"/>
      <c r="I1959" s="10"/>
      <c r="J1959" s="10"/>
      <c r="K1959" s="10"/>
      <c r="L1959" s="10"/>
      <c r="M1959" s="10"/>
      <c r="N1959" s="10"/>
      <c r="O1959" s="3"/>
      <c r="P1959" s="10"/>
    </row>
    <row r="1960" spans="1:16" x14ac:dyDescent="0.15">
      <c r="A1960" s="10"/>
      <c r="B1960" s="3"/>
      <c r="C1960" s="10"/>
      <c r="D1960" s="10"/>
      <c r="E1960" s="10"/>
      <c r="F1960" s="10"/>
      <c r="G1960" s="10"/>
      <c r="H1960" s="10"/>
      <c r="I1960" s="10"/>
      <c r="J1960" s="10"/>
      <c r="K1960" s="10"/>
      <c r="L1960" s="10"/>
      <c r="M1960" s="10"/>
      <c r="N1960" s="10"/>
      <c r="O1960" s="3"/>
      <c r="P1960" s="10"/>
    </row>
    <row r="1961" spans="1:16" x14ac:dyDescent="0.15">
      <c r="A1961" s="10"/>
      <c r="B1961" s="3"/>
      <c r="C1961" s="10"/>
      <c r="D1961" s="10"/>
      <c r="E1961" s="10"/>
      <c r="F1961" s="10"/>
      <c r="G1961" s="10"/>
      <c r="H1961" s="10"/>
      <c r="I1961" s="10"/>
      <c r="J1961" s="10"/>
      <c r="K1961" s="10"/>
      <c r="L1961" s="10"/>
      <c r="M1961" s="10"/>
      <c r="N1961" s="10"/>
      <c r="O1961" s="3"/>
      <c r="P1961" s="10"/>
    </row>
    <row r="1962" spans="1:16" x14ac:dyDescent="0.15">
      <c r="A1962" s="10"/>
      <c r="B1962" s="3"/>
      <c r="C1962" s="10"/>
      <c r="D1962" s="10"/>
      <c r="E1962" s="10"/>
      <c r="F1962" s="10"/>
      <c r="G1962" s="10"/>
      <c r="H1962" s="10"/>
      <c r="I1962" s="10"/>
      <c r="J1962" s="10"/>
      <c r="K1962" s="10"/>
      <c r="L1962" s="10"/>
      <c r="M1962" s="10"/>
      <c r="N1962" s="10"/>
      <c r="O1962" s="3"/>
      <c r="P1962" s="10"/>
    </row>
    <row r="1963" spans="1:16" x14ac:dyDescent="0.15">
      <c r="A1963" s="10"/>
      <c r="B1963" s="3"/>
      <c r="C1963" s="10"/>
      <c r="D1963" s="10"/>
      <c r="E1963" s="10"/>
      <c r="F1963" s="10"/>
      <c r="G1963" s="10"/>
      <c r="H1963" s="10"/>
      <c r="I1963" s="10"/>
      <c r="J1963" s="10"/>
      <c r="K1963" s="10"/>
      <c r="L1963" s="10"/>
      <c r="M1963" s="10"/>
      <c r="N1963" s="10"/>
      <c r="O1963" s="3"/>
      <c r="P1963" s="10"/>
    </row>
    <row r="1964" spans="1:16" x14ac:dyDescent="0.15">
      <c r="A1964" s="10"/>
      <c r="B1964" s="3"/>
      <c r="C1964" s="10"/>
      <c r="D1964" s="10"/>
      <c r="E1964" s="10"/>
      <c r="F1964" s="10"/>
      <c r="G1964" s="10"/>
      <c r="H1964" s="10"/>
      <c r="I1964" s="10"/>
      <c r="J1964" s="10"/>
      <c r="K1964" s="10"/>
      <c r="L1964" s="10"/>
      <c r="M1964" s="10"/>
      <c r="N1964" s="10"/>
      <c r="O1964" s="3"/>
      <c r="P1964" s="10"/>
    </row>
    <row r="1965" spans="1:16" x14ac:dyDescent="0.15">
      <c r="A1965" s="10"/>
      <c r="B1965" s="3"/>
      <c r="C1965" s="10"/>
      <c r="D1965" s="10"/>
      <c r="E1965" s="10"/>
      <c r="F1965" s="10"/>
      <c r="G1965" s="10"/>
      <c r="H1965" s="10"/>
      <c r="I1965" s="10"/>
      <c r="J1965" s="10"/>
      <c r="K1965" s="10"/>
      <c r="L1965" s="10"/>
      <c r="M1965" s="10"/>
      <c r="N1965" s="10"/>
      <c r="O1965" s="3"/>
      <c r="P1965" s="10"/>
    </row>
    <row r="1966" spans="1:16" x14ac:dyDescent="0.15">
      <c r="A1966" s="10"/>
      <c r="B1966" s="3"/>
      <c r="C1966" s="10"/>
      <c r="D1966" s="10"/>
      <c r="E1966" s="10"/>
      <c r="F1966" s="10"/>
      <c r="G1966" s="10"/>
      <c r="H1966" s="10"/>
      <c r="I1966" s="10"/>
      <c r="J1966" s="10"/>
      <c r="K1966" s="10"/>
      <c r="L1966" s="10"/>
      <c r="M1966" s="10"/>
      <c r="N1966" s="10"/>
      <c r="O1966" s="3"/>
      <c r="P1966" s="10"/>
    </row>
    <row r="1967" spans="1:16" x14ac:dyDescent="0.15">
      <c r="A1967" s="10"/>
      <c r="B1967" s="3"/>
      <c r="C1967" s="10"/>
      <c r="D1967" s="10"/>
      <c r="E1967" s="10"/>
      <c r="F1967" s="10"/>
      <c r="G1967" s="10"/>
      <c r="H1967" s="10"/>
      <c r="I1967" s="10"/>
      <c r="J1967" s="10"/>
      <c r="K1967" s="10"/>
      <c r="L1967" s="10"/>
      <c r="M1967" s="10"/>
      <c r="N1967" s="10"/>
      <c r="O1967" s="3"/>
      <c r="P1967" s="10"/>
    </row>
    <row r="1968" spans="1:16" x14ac:dyDescent="0.15">
      <c r="A1968" s="10"/>
      <c r="B1968" s="3"/>
      <c r="C1968" s="10"/>
      <c r="D1968" s="10"/>
      <c r="E1968" s="10"/>
      <c r="F1968" s="10"/>
      <c r="G1968" s="10"/>
      <c r="H1968" s="10"/>
      <c r="I1968" s="10"/>
      <c r="J1968" s="10"/>
      <c r="K1968" s="10"/>
      <c r="L1968" s="10"/>
      <c r="M1968" s="10"/>
      <c r="N1968" s="10"/>
      <c r="O1968" s="3"/>
      <c r="P1968" s="10"/>
    </row>
    <row r="1969" spans="1:16" x14ac:dyDescent="0.15">
      <c r="A1969" s="10"/>
      <c r="B1969" s="3"/>
      <c r="C1969" s="10"/>
      <c r="D1969" s="10"/>
      <c r="E1969" s="10"/>
      <c r="F1969" s="10"/>
      <c r="G1969" s="10"/>
      <c r="H1969" s="10"/>
      <c r="I1969" s="10"/>
      <c r="J1969" s="10"/>
      <c r="K1969" s="10"/>
      <c r="L1969" s="10"/>
      <c r="M1969" s="10"/>
      <c r="N1969" s="10"/>
      <c r="O1969" s="3"/>
      <c r="P1969" s="10"/>
    </row>
    <row r="1970" spans="1:16" x14ac:dyDescent="0.15">
      <c r="A1970" s="10"/>
      <c r="B1970" s="3"/>
      <c r="C1970" s="10"/>
      <c r="D1970" s="10"/>
      <c r="E1970" s="10"/>
      <c r="F1970" s="10"/>
      <c r="G1970" s="10"/>
      <c r="H1970" s="10"/>
      <c r="I1970" s="10"/>
      <c r="J1970" s="10"/>
      <c r="K1970" s="10"/>
      <c r="L1970" s="10"/>
      <c r="M1970" s="10"/>
      <c r="N1970" s="10"/>
      <c r="O1970" s="3"/>
      <c r="P1970" s="10"/>
    </row>
    <row r="1971" spans="1:16" x14ac:dyDescent="0.15">
      <c r="A1971" s="10"/>
      <c r="B1971" s="3"/>
      <c r="C1971" s="10"/>
      <c r="D1971" s="10"/>
      <c r="E1971" s="10"/>
      <c r="F1971" s="10"/>
      <c r="G1971" s="10"/>
      <c r="H1971" s="10"/>
      <c r="I1971" s="10"/>
      <c r="J1971" s="10"/>
      <c r="K1971" s="10"/>
      <c r="L1971" s="10"/>
      <c r="M1971" s="10"/>
      <c r="N1971" s="10"/>
      <c r="O1971" s="3"/>
      <c r="P1971" s="10"/>
    </row>
    <row r="1972" spans="1:16" x14ac:dyDescent="0.15">
      <c r="A1972" s="10"/>
      <c r="B1972" s="3"/>
      <c r="C1972" s="10"/>
      <c r="D1972" s="10"/>
      <c r="E1972" s="10"/>
      <c r="F1972" s="10"/>
      <c r="G1972" s="10"/>
      <c r="H1972" s="10"/>
      <c r="I1972" s="10"/>
      <c r="J1972" s="10"/>
      <c r="K1972" s="10"/>
      <c r="L1972" s="10"/>
      <c r="M1972" s="10"/>
      <c r="N1972" s="10"/>
      <c r="O1972" s="3"/>
      <c r="P1972" s="10"/>
    </row>
    <row r="1973" spans="1:16" x14ac:dyDescent="0.15">
      <c r="A1973" s="10"/>
      <c r="B1973" s="3"/>
      <c r="C1973" s="10"/>
      <c r="D1973" s="10"/>
      <c r="E1973" s="10"/>
      <c r="F1973" s="10"/>
      <c r="G1973" s="10"/>
      <c r="H1973" s="10"/>
      <c r="I1973" s="10"/>
      <c r="J1973" s="10"/>
      <c r="K1973" s="10"/>
      <c r="L1973" s="10"/>
      <c r="M1973" s="10"/>
      <c r="N1973" s="10"/>
      <c r="O1973" s="3"/>
      <c r="P1973" s="10"/>
    </row>
    <row r="1974" spans="1:16" x14ac:dyDescent="0.15">
      <c r="A1974" s="10"/>
      <c r="B1974" s="3"/>
      <c r="C1974" s="10"/>
      <c r="D1974" s="10"/>
      <c r="E1974" s="10"/>
      <c r="F1974" s="10"/>
      <c r="G1974" s="10"/>
      <c r="H1974" s="10"/>
      <c r="I1974" s="10"/>
      <c r="J1974" s="10"/>
      <c r="K1974" s="10"/>
      <c r="L1974" s="10"/>
      <c r="M1974" s="10"/>
      <c r="N1974" s="10"/>
      <c r="O1974" s="3"/>
      <c r="P1974" s="10"/>
    </row>
    <row r="1975" spans="1:16" x14ac:dyDescent="0.15">
      <c r="A1975" s="10"/>
      <c r="B1975" s="3"/>
      <c r="C1975" s="10"/>
      <c r="D1975" s="10"/>
      <c r="E1975" s="10"/>
      <c r="F1975" s="10"/>
      <c r="G1975" s="10"/>
      <c r="H1975" s="10"/>
      <c r="I1975" s="10"/>
      <c r="J1975" s="10"/>
      <c r="K1975" s="10"/>
      <c r="L1975" s="10"/>
      <c r="M1975" s="10"/>
      <c r="N1975" s="10"/>
      <c r="O1975" s="3"/>
      <c r="P1975" s="10"/>
    </row>
    <row r="1976" spans="1:16" x14ac:dyDescent="0.15">
      <c r="A1976" s="10"/>
      <c r="B1976" s="3"/>
      <c r="C1976" s="10"/>
      <c r="D1976" s="10"/>
      <c r="E1976" s="10"/>
      <c r="F1976" s="10"/>
      <c r="G1976" s="10"/>
      <c r="H1976" s="10"/>
      <c r="I1976" s="10"/>
      <c r="J1976" s="10"/>
      <c r="K1976" s="10"/>
      <c r="L1976" s="10"/>
      <c r="M1976" s="10"/>
      <c r="N1976" s="10"/>
      <c r="O1976" s="3"/>
      <c r="P1976" s="10"/>
    </row>
    <row r="1977" spans="1:16" x14ac:dyDescent="0.15">
      <c r="A1977" s="10"/>
      <c r="B1977" s="3"/>
      <c r="C1977" s="10"/>
      <c r="D1977" s="10"/>
      <c r="E1977" s="10"/>
      <c r="F1977" s="10"/>
      <c r="G1977" s="10"/>
      <c r="H1977" s="10"/>
      <c r="I1977" s="10"/>
      <c r="J1977" s="10"/>
      <c r="K1977" s="10"/>
      <c r="L1977" s="10"/>
      <c r="M1977" s="10"/>
      <c r="N1977" s="10"/>
      <c r="O1977" s="3"/>
      <c r="P1977" s="10"/>
    </row>
    <row r="1978" spans="1:16" x14ac:dyDescent="0.15">
      <c r="A1978" s="10"/>
      <c r="B1978" s="3"/>
      <c r="C1978" s="10"/>
      <c r="D1978" s="10"/>
      <c r="E1978" s="10"/>
      <c r="F1978" s="10"/>
      <c r="G1978" s="10"/>
      <c r="H1978" s="10"/>
      <c r="I1978" s="10"/>
      <c r="J1978" s="10"/>
      <c r="K1978" s="10"/>
      <c r="L1978" s="10"/>
      <c r="M1978" s="10"/>
      <c r="N1978" s="10"/>
      <c r="O1978" s="3"/>
      <c r="P1978" s="10"/>
    </row>
    <row r="1979" spans="1:16" x14ac:dyDescent="0.15">
      <c r="A1979" s="10"/>
      <c r="B1979" s="3"/>
      <c r="C1979" s="10"/>
      <c r="D1979" s="10"/>
      <c r="E1979" s="10"/>
      <c r="F1979" s="10"/>
      <c r="G1979" s="10"/>
      <c r="H1979" s="10"/>
      <c r="I1979" s="10"/>
      <c r="J1979" s="10"/>
      <c r="K1979" s="10"/>
      <c r="L1979" s="10"/>
      <c r="M1979" s="10"/>
      <c r="N1979" s="10"/>
      <c r="O1979" s="3"/>
      <c r="P1979" s="10"/>
    </row>
    <row r="1980" spans="1:16" x14ac:dyDescent="0.15">
      <c r="A1980" s="10"/>
      <c r="B1980" s="3"/>
      <c r="C1980" s="10"/>
      <c r="D1980" s="10"/>
      <c r="E1980" s="10"/>
      <c r="F1980" s="10"/>
      <c r="G1980" s="10"/>
      <c r="H1980" s="10"/>
      <c r="I1980" s="10"/>
      <c r="J1980" s="10"/>
      <c r="K1980" s="10"/>
      <c r="L1980" s="10"/>
      <c r="M1980" s="10"/>
      <c r="N1980" s="10"/>
      <c r="O1980" s="3"/>
      <c r="P1980" s="10"/>
    </row>
    <row r="1981" spans="1:16" x14ac:dyDescent="0.15">
      <c r="A1981" s="10"/>
      <c r="B1981" s="3"/>
      <c r="C1981" s="10"/>
      <c r="D1981" s="10"/>
      <c r="E1981" s="10"/>
      <c r="F1981" s="10"/>
      <c r="G1981" s="10"/>
      <c r="H1981" s="10"/>
      <c r="I1981" s="10"/>
      <c r="J1981" s="10"/>
      <c r="K1981" s="10"/>
      <c r="L1981" s="10"/>
      <c r="M1981" s="10"/>
      <c r="N1981" s="10"/>
      <c r="O1981" s="3"/>
      <c r="P1981" s="10"/>
    </row>
    <row r="1982" spans="1:16" x14ac:dyDescent="0.15">
      <c r="A1982" s="10"/>
      <c r="B1982" s="3"/>
      <c r="C1982" s="10"/>
      <c r="D1982" s="10"/>
      <c r="E1982" s="10"/>
      <c r="F1982" s="10"/>
      <c r="G1982" s="10"/>
      <c r="H1982" s="10"/>
      <c r="I1982" s="10"/>
      <c r="J1982" s="10"/>
      <c r="K1982" s="10"/>
      <c r="L1982" s="10"/>
      <c r="M1982" s="10"/>
      <c r="N1982" s="10"/>
      <c r="O1982" s="3"/>
      <c r="P1982" s="10"/>
    </row>
    <row r="1983" spans="1:16" x14ac:dyDescent="0.15">
      <c r="A1983" s="10"/>
      <c r="B1983" s="3"/>
      <c r="C1983" s="10"/>
      <c r="D1983" s="10"/>
      <c r="E1983" s="10"/>
      <c r="F1983" s="10"/>
      <c r="G1983" s="10"/>
      <c r="H1983" s="10"/>
      <c r="I1983" s="10"/>
      <c r="J1983" s="10"/>
      <c r="K1983" s="10"/>
      <c r="L1983" s="10"/>
      <c r="M1983" s="10"/>
      <c r="N1983" s="10"/>
      <c r="O1983" s="3"/>
      <c r="P1983" s="10"/>
    </row>
    <row r="1984" spans="1:16" x14ac:dyDescent="0.15">
      <c r="A1984" s="10"/>
      <c r="B1984" s="3"/>
      <c r="C1984" s="10"/>
      <c r="D1984" s="10"/>
      <c r="E1984" s="10"/>
      <c r="F1984" s="10"/>
      <c r="G1984" s="10"/>
      <c r="H1984" s="10"/>
      <c r="I1984" s="10"/>
      <c r="J1984" s="10"/>
      <c r="K1984" s="10"/>
      <c r="L1984" s="10"/>
      <c r="M1984" s="10"/>
      <c r="N1984" s="10"/>
      <c r="O1984" s="3"/>
      <c r="P1984" s="10"/>
    </row>
    <row r="1985" spans="1:16" x14ac:dyDescent="0.15">
      <c r="A1985" s="10"/>
      <c r="B1985" s="3"/>
      <c r="C1985" s="10"/>
      <c r="D1985" s="10"/>
      <c r="E1985" s="10"/>
      <c r="F1985" s="10"/>
      <c r="G1985" s="10"/>
      <c r="H1985" s="10"/>
      <c r="I1985" s="10"/>
      <c r="J1985" s="10"/>
      <c r="K1985" s="10"/>
      <c r="L1985" s="10"/>
      <c r="M1985" s="10"/>
      <c r="N1985" s="10"/>
      <c r="O1985" s="3"/>
      <c r="P1985" s="10"/>
    </row>
    <row r="1986" spans="1:16" x14ac:dyDescent="0.15">
      <c r="A1986" s="10"/>
      <c r="B1986" s="3"/>
      <c r="C1986" s="10"/>
      <c r="D1986" s="10"/>
      <c r="E1986" s="10"/>
      <c r="F1986" s="10"/>
      <c r="G1986" s="10"/>
      <c r="H1986" s="10"/>
      <c r="I1986" s="10"/>
      <c r="J1986" s="10"/>
      <c r="K1986" s="10"/>
      <c r="L1986" s="10"/>
      <c r="M1986" s="10"/>
      <c r="N1986" s="10"/>
      <c r="O1986" s="3"/>
      <c r="P1986" s="10"/>
    </row>
    <row r="1987" spans="1:16" x14ac:dyDescent="0.15">
      <c r="A1987" s="10"/>
      <c r="B1987" s="3"/>
      <c r="C1987" s="10"/>
      <c r="D1987" s="10"/>
      <c r="E1987" s="10"/>
      <c r="F1987" s="10"/>
      <c r="G1987" s="10"/>
      <c r="H1987" s="10"/>
      <c r="I1987" s="10"/>
      <c r="J1987" s="10"/>
      <c r="K1987" s="10"/>
      <c r="L1987" s="10"/>
      <c r="M1987" s="10"/>
      <c r="N1987" s="10"/>
      <c r="O1987" s="3"/>
      <c r="P1987" s="10"/>
    </row>
    <row r="1988" spans="1:16" x14ac:dyDescent="0.15">
      <c r="A1988" s="10"/>
      <c r="B1988" s="3"/>
      <c r="C1988" s="10"/>
      <c r="D1988" s="10"/>
      <c r="E1988" s="10"/>
      <c r="F1988" s="10"/>
      <c r="G1988" s="10"/>
      <c r="H1988" s="10"/>
      <c r="I1988" s="10"/>
      <c r="J1988" s="10"/>
      <c r="K1988" s="10"/>
      <c r="L1988" s="10"/>
      <c r="M1988" s="10"/>
      <c r="N1988" s="10"/>
      <c r="O1988" s="3"/>
      <c r="P1988" s="10"/>
    </row>
    <row r="1989" spans="1:16" x14ac:dyDescent="0.15">
      <c r="A1989" s="10"/>
      <c r="B1989" s="3"/>
      <c r="C1989" s="10"/>
      <c r="D1989" s="10"/>
      <c r="E1989" s="10"/>
      <c r="F1989" s="10"/>
      <c r="G1989" s="10"/>
      <c r="H1989" s="10"/>
      <c r="I1989" s="10"/>
      <c r="J1989" s="10"/>
      <c r="K1989" s="10"/>
      <c r="L1989" s="10"/>
      <c r="M1989" s="10"/>
      <c r="N1989" s="10"/>
      <c r="O1989" s="3"/>
      <c r="P1989" s="10"/>
    </row>
    <row r="1990" spans="1:16" x14ac:dyDescent="0.15">
      <c r="A1990" s="10"/>
      <c r="B1990" s="3"/>
      <c r="C1990" s="10"/>
      <c r="D1990" s="10"/>
      <c r="E1990" s="10"/>
      <c r="F1990" s="10"/>
      <c r="G1990" s="10"/>
      <c r="H1990" s="10"/>
      <c r="I1990" s="10"/>
      <c r="J1990" s="10"/>
      <c r="K1990" s="10"/>
      <c r="L1990" s="10"/>
      <c r="M1990" s="10"/>
      <c r="N1990" s="10"/>
      <c r="O1990" s="3"/>
      <c r="P1990" s="10"/>
    </row>
    <row r="1991" spans="1:16" x14ac:dyDescent="0.15">
      <c r="A1991" s="10"/>
      <c r="B1991" s="3"/>
      <c r="C1991" s="10"/>
      <c r="D1991" s="10"/>
      <c r="E1991" s="10"/>
      <c r="F1991" s="10"/>
      <c r="G1991" s="10"/>
      <c r="H1991" s="10"/>
      <c r="I1991" s="10"/>
      <c r="J1991" s="10"/>
      <c r="K1991" s="10"/>
      <c r="L1991" s="10"/>
      <c r="M1991" s="10"/>
      <c r="N1991" s="10"/>
      <c r="O1991" s="3"/>
      <c r="P1991" s="10"/>
    </row>
    <row r="1992" spans="1:16" x14ac:dyDescent="0.15">
      <c r="A1992" s="10"/>
      <c r="B1992" s="3"/>
      <c r="C1992" s="10"/>
      <c r="D1992" s="10"/>
      <c r="E1992" s="10"/>
      <c r="F1992" s="10"/>
      <c r="G1992" s="10"/>
      <c r="H1992" s="10"/>
      <c r="I1992" s="10"/>
      <c r="J1992" s="10"/>
      <c r="K1992" s="10"/>
      <c r="L1992" s="10"/>
      <c r="M1992" s="10"/>
      <c r="N1992" s="10"/>
      <c r="O1992" s="3"/>
      <c r="P1992" s="10"/>
    </row>
    <row r="1993" spans="1:16" x14ac:dyDescent="0.15">
      <c r="A1993" s="10"/>
      <c r="B1993" s="3"/>
      <c r="C1993" s="10"/>
      <c r="D1993" s="10"/>
      <c r="E1993" s="10"/>
      <c r="F1993" s="10"/>
      <c r="G1993" s="10"/>
      <c r="H1993" s="10"/>
      <c r="I1993" s="10"/>
      <c r="J1993" s="10"/>
      <c r="K1993" s="10"/>
      <c r="L1993" s="10"/>
      <c r="M1993" s="10"/>
      <c r="N1993" s="10"/>
      <c r="O1993" s="3"/>
      <c r="P1993" s="10"/>
    </row>
    <row r="1994" spans="1:16" x14ac:dyDescent="0.15">
      <c r="A1994" s="10"/>
      <c r="B1994" s="3"/>
      <c r="C1994" s="10"/>
      <c r="D1994" s="10"/>
      <c r="E1994" s="10"/>
      <c r="F1994" s="10"/>
      <c r="G1994" s="10"/>
      <c r="H1994" s="10"/>
      <c r="I1994" s="10"/>
      <c r="J1994" s="10"/>
      <c r="K1994" s="10"/>
      <c r="L1994" s="10"/>
      <c r="M1994" s="10"/>
      <c r="N1994" s="10"/>
      <c r="O1994" s="3"/>
      <c r="P1994" s="10"/>
    </row>
    <row r="1995" spans="1:16" x14ac:dyDescent="0.15">
      <c r="A1995" s="10"/>
      <c r="B1995" s="3"/>
      <c r="C1995" s="10"/>
      <c r="D1995" s="10"/>
      <c r="E1995" s="10"/>
      <c r="F1995" s="10"/>
      <c r="G1995" s="10"/>
      <c r="H1995" s="10"/>
      <c r="I1995" s="10"/>
      <c r="J1995" s="10"/>
      <c r="K1995" s="10"/>
      <c r="L1995" s="10"/>
      <c r="M1995" s="10"/>
      <c r="N1995" s="10"/>
      <c r="O1995" s="3"/>
      <c r="P1995" s="10"/>
    </row>
    <row r="1996" spans="1:16" x14ac:dyDescent="0.15">
      <c r="A1996" s="10"/>
      <c r="B1996" s="3"/>
      <c r="C1996" s="10"/>
      <c r="D1996" s="10"/>
      <c r="E1996" s="10"/>
      <c r="F1996" s="10"/>
      <c r="G1996" s="10"/>
      <c r="H1996" s="10"/>
      <c r="I1996" s="10"/>
      <c r="J1996" s="10"/>
      <c r="K1996" s="10"/>
      <c r="L1996" s="10"/>
      <c r="M1996" s="10"/>
      <c r="N1996" s="10"/>
      <c r="O1996" s="3"/>
      <c r="P1996" s="10"/>
    </row>
    <row r="1997" spans="1:16" x14ac:dyDescent="0.15">
      <c r="A1997" s="10"/>
      <c r="B1997" s="3"/>
      <c r="C1997" s="10"/>
      <c r="D1997" s="10"/>
      <c r="E1997" s="10"/>
      <c r="F1997" s="10"/>
      <c r="G1997" s="10"/>
      <c r="H1997" s="10"/>
      <c r="I1997" s="10"/>
      <c r="J1997" s="10"/>
      <c r="K1997" s="10"/>
      <c r="L1997" s="10"/>
      <c r="M1997" s="10"/>
      <c r="N1997" s="10"/>
      <c r="O1997" s="3"/>
      <c r="P1997" s="10"/>
    </row>
    <row r="1998" spans="1:16" x14ac:dyDescent="0.15">
      <c r="A1998" s="10"/>
      <c r="B1998" s="3"/>
      <c r="C1998" s="10"/>
      <c r="D1998" s="10"/>
      <c r="E1998" s="10"/>
      <c r="F1998" s="10"/>
      <c r="G1998" s="10"/>
      <c r="H1998" s="10"/>
      <c r="I1998" s="10"/>
      <c r="J1998" s="10"/>
      <c r="K1998" s="10"/>
      <c r="L1998" s="10"/>
      <c r="M1998" s="10"/>
      <c r="N1998" s="10"/>
      <c r="O1998" s="3"/>
      <c r="P1998" s="10"/>
    </row>
    <row r="1999" spans="1:16" x14ac:dyDescent="0.15">
      <c r="A1999" s="10"/>
      <c r="B1999" s="3"/>
      <c r="C1999" s="10"/>
      <c r="D1999" s="10"/>
      <c r="E1999" s="10"/>
      <c r="F1999" s="10"/>
      <c r="G1999" s="10"/>
      <c r="H1999" s="10"/>
      <c r="I1999" s="10"/>
      <c r="J1999" s="10"/>
      <c r="K1999" s="10"/>
      <c r="L1999" s="10"/>
      <c r="M1999" s="10"/>
      <c r="N1999" s="10"/>
      <c r="O1999" s="3"/>
      <c r="P1999" s="10"/>
    </row>
    <row r="2000" spans="1:16" x14ac:dyDescent="0.15">
      <c r="A2000" s="10"/>
      <c r="B2000" s="3"/>
      <c r="C2000" s="10"/>
      <c r="D2000" s="10"/>
      <c r="E2000" s="10"/>
      <c r="F2000" s="10"/>
      <c r="G2000" s="10"/>
      <c r="H2000" s="10"/>
      <c r="I2000" s="10"/>
      <c r="J2000" s="10"/>
      <c r="K2000" s="10"/>
      <c r="L2000" s="10"/>
      <c r="M2000" s="10"/>
      <c r="N2000" s="10"/>
      <c r="O2000" s="3"/>
      <c r="P2000" s="10"/>
    </row>
    <row r="2001" spans="1:16" x14ac:dyDescent="0.15">
      <c r="A2001" s="10"/>
      <c r="B2001" s="3"/>
      <c r="C2001" s="10"/>
      <c r="D2001" s="10"/>
      <c r="E2001" s="10"/>
      <c r="F2001" s="10"/>
      <c r="G2001" s="10"/>
      <c r="H2001" s="10"/>
      <c r="I2001" s="10"/>
      <c r="J2001" s="10"/>
      <c r="K2001" s="10"/>
      <c r="L2001" s="10"/>
      <c r="M2001" s="10"/>
      <c r="N2001" s="10"/>
      <c r="O2001" s="3"/>
      <c r="P2001" s="10"/>
    </row>
    <row r="2002" spans="1:16" x14ac:dyDescent="0.15">
      <c r="A2002" s="10"/>
      <c r="B2002" s="3"/>
      <c r="C2002" s="10"/>
      <c r="D2002" s="10"/>
      <c r="E2002" s="10"/>
      <c r="F2002" s="10"/>
      <c r="G2002" s="10"/>
      <c r="H2002" s="10"/>
      <c r="I2002" s="10"/>
      <c r="J2002" s="10"/>
      <c r="K2002" s="10"/>
      <c r="L2002" s="10"/>
      <c r="M2002" s="10"/>
      <c r="N2002" s="10"/>
      <c r="O2002" s="3"/>
      <c r="P2002" s="10"/>
    </row>
    <row r="2003" spans="1:16" x14ac:dyDescent="0.15">
      <c r="A2003" s="10"/>
      <c r="B2003" s="3"/>
      <c r="C2003" s="10"/>
      <c r="D2003" s="10"/>
      <c r="E2003" s="10"/>
      <c r="F2003" s="10"/>
      <c r="G2003" s="10"/>
      <c r="H2003" s="10"/>
      <c r="I2003" s="10"/>
      <c r="J2003" s="10"/>
      <c r="K2003" s="10"/>
      <c r="L2003" s="10"/>
      <c r="M2003" s="10"/>
      <c r="N2003" s="10"/>
      <c r="O2003" s="3"/>
      <c r="P2003" s="10"/>
    </row>
    <row r="2004" spans="1:16" x14ac:dyDescent="0.15">
      <c r="A2004" s="10"/>
      <c r="B2004" s="3"/>
      <c r="C2004" s="10"/>
      <c r="D2004" s="10"/>
      <c r="E2004" s="10"/>
      <c r="F2004" s="10"/>
      <c r="G2004" s="10"/>
      <c r="H2004" s="10"/>
      <c r="I2004" s="10"/>
      <c r="J2004" s="10"/>
      <c r="K2004" s="10"/>
      <c r="L2004" s="10"/>
      <c r="M2004" s="10"/>
      <c r="N2004" s="10"/>
      <c r="O2004" s="3"/>
      <c r="P2004" s="10"/>
    </row>
    <row r="2005" spans="1:16" x14ac:dyDescent="0.15">
      <c r="A2005" s="10"/>
      <c r="B2005" s="3"/>
      <c r="C2005" s="10"/>
      <c r="D2005" s="10"/>
      <c r="E2005" s="10"/>
      <c r="F2005" s="10"/>
      <c r="G2005" s="10"/>
      <c r="H2005" s="10"/>
      <c r="I2005" s="10"/>
      <c r="J2005" s="10"/>
      <c r="K2005" s="10"/>
      <c r="L2005" s="10"/>
      <c r="M2005" s="10"/>
      <c r="N2005" s="10"/>
      <c r="O2005" s="3"/>
      <c r="P2005" s="10"/>
    </row>
    <row r="2006" spans="1:16" x14ac:dyDescent="0.15">
      <c r="A2006" s="10"/>
      <c r="B2006" s="3"/>
      <c r="C2006" s="10"/>
      <c r="D2006" s="10"/>
      <c r="E2006" s="10"/>
      <c r="F2006" s="10"/>
      <c r="G2006" s="10"/>
      <c r="H2006" s="10"/>
      <c r="I2006" s="10"/>
      <c r="J2006" s="10"/>
      <c r="K2006" s="10"/>
      <c r="L2006" s="10"/>
      <c r="M2006" s="10"/>
      <c r="N2006" s="10"/>
      <c r="O2006" s="3"/>
      <c r="P2006" s="10"/>
    </row>
    <row r="2007" spans="1:16" x14ac:dyDescent="0.15">
      <c r="A2007" s="10"/>
      <c r="B2007" s="3"/>
      <c r="C2007" s="10"/>
      <c r="D2007" s="10"/>
      <c r="E2007" s="10"/>
      <c r="F2007" s="10"/>
      <c r="G2007" s="10"/>
      <c r="H2007" s="10"/>
      <c r="I2007" s="10"/>
      <c r="J2007" s="10"/>
      <c r="K2007" s="10"/>
      <c r="L2007" s="10"/>
      <c r="M2007" s="10"/>
      <c r="N2007" s="10"/>
      <c r="O2007" s="3"/>
      <c r="P2007" s="10"/>
    </row>
    <row r="2008" spans="1:16" x14ac:dyDescent="0.15">
      <c r="A2008" s="10"/>
      <c r="B2008" s="3"/>
      <c r="C2008" s="10"/>
      <c r="D2008" s="10"/>
      <c r="E2008" s="10"/>
      <c r="F2008" s="10"/>
      <c r="G2008" s="10"/>
      <c r="H2008" s="10"/>
      <c r="I2008" s="10"/>
      <c r="J2008" s="10"/>
      <c r="K2008" s="10"/>
      <c r="L2008" s="10"/>
      <c r="M2008" s="10"/>
      <c r="N2008" s="10"/>
      <c r="O2008" s="3"/>
      <c r="P2008" s="10"/>
    </row>
    <row r="2009" spans="1:16" x14ac:dyDescent="0.15">
      <c r="A2009" s="10"/>
      <c r="B2009" s="3"/>
      <c r="C2009" s="10"/>
      <c r="D2009" s="10"/>
      <c r="E2009" s="10"/>
      <c r="F2009" s="10"/>
      <c r="G2009" s="10"/>
      <c r="H2009" s="10"/>
      <c r="I2009" s="10"/>
      <c r="J2009" s="10"/>
      <c r="K2009" s="10"/>
      <c r="L2009" s="10"/>
      <c r="M2009" s="10"/>
      <c r="N2009" s="10"/>
      <c r="O2009" s="3"/>
      <c r="P2009" s="10"/>
    </row>
    <row r="2010" spans="1:16" x14ac:dyDescent="0.15">
      <c r="A2010" s="10"/>
      <c r="B2010" s="3"/>
      <c r="C2010" s="10"/>
      <c r="D2010" s="10"/>
      <c r="E2010" s="10"/>
      <c r="F2010" s="10"/>
      <c r="G2010" s="10"/>
      <c r="H2010" s="10"/>
      <c r="I2010" s="10"/>
      <c r="J2010" s="10"/>
      <c r="K2010" s="10"/>
      <c r="L2010" s="10"/>
      <c r="M2010" s="10"/>
      <c r="N2010" s="10"/>
      <c r="O2010" s="3"/>
      <c r="P2010" s="10"/>
    </row>
    <row r="2011" spans="1:16" x14ac:dyDescent="0.15">
      <c r="A2011" s="10"/>
      <c r="B2011" s="3"/>
      <c r="C2011" s="10"/>
      <c r="D2011" s="10"/>
      <c r="E2011" s="10"/>
      <c r="F2011" s="10"/>
      <c r="G2011" s="10"/>
      <c r="H2011" s="10"/>
      <c r="I2011" s="10"/>
      <c r="J2011" s="10"/>
      <c r="K2011" s="10"/>
      <c r="L2011" s="10"/>
      <c r="M2011" s="10"/>
      <c r="N2011" s="10"/>
      <c r="O2011" s="3"/>
      <c r="P2011" s="10"/>
    </row>
    <row r="2012" spans="1:16" x14ac:dyDescent="0.15">
      <c r="A2012" s="10"/>
      <c r="B2012" s="3"/>
      <c r="C2012" s="10"/>
      <c r="D2012" s="10"/>
      <c r="E2012" s="10"/>
      <c r="F2012" s="10"/>
      <c r="G2012" s="10"/>
      <c r="H2012" s="10"/>
      <c r="I2012" s="10"/>
      <c r="J2012" s="10"/>
      <c r="K2012" s="10"/>
      <c r="L2012" s="10"/>
      <c r="M2012" s="10"/>
      <c r="N2012" s="10"/>
      <c r="O2012" s="3"/>
      <c r="P2012" s="10"/>
    </row>
    <row r="2013" spans="1:16" x14ac:dyDescent="0.15">
      <c r="A2013" s="10"/>
      <c r="B2013" s="3"/>
      <c r="C2013" s="10"/>
      <c r="D2013" s="10"/>
      <c r="E2013" s="10"/>
      <c r="F2013" s="10"/>
      <c r="G2013" s="10"/>
      <c r="H2013" s="10"/>
      <c r="I2013" s="10"/>
      <c r="J2013" s="10"/>
      <c r="K2013" s="10"/>
      <c r="L2013" s="10"/>
      <c r="M2013" s="10"/>
      <c r="N2013" s="10"/>
      <c r="O2013" s="3"/>
      <c r="P2013" s="10"/>
    </row>
    <row r="2014" spans="1:16" x14ac:dyDescent="0.15">
      <c r="A2014" s="10"/>
      <c r="B2014" s="3"/>
      <c r="C2014" s="10"/>
      <c r="D2014" s="10"/>
      <c r="E2014" s="10"/>
      <c r="F2014" s="10"/>
      <c r="G2014" s="10"/>
      <c r="H2014" s="10"/>
      <c r="I2014" s="10"/>
      <c r="J2014" s="10"/>
      <c r="K2014" s="10"/>
      <c r="L2014" s="10"/>
      <c r="M2014" s="10"/>
      <c r="N2014" s="10"/>
      <c r="O2014" s="3"/>
      <c r="P2014" s="10"/>
    </row>
    <row r="2015" spans="1:16" x14ac:dyDescent="0.15">
      <c r="A2015" s="10"/>
      <c r="B2015" s="3"/>
      <c r="C2015" s="10"/>
      <c r="D2015" s="10"/>
      <c r="E2015" s="10"/>
      <c r="F2015" s="10"/>
      <c r="G2015" s="10"/>
      <c r="H2015" s="10"/>
      <c r="I2015" s="10"/>
      <c r="J2015" s="10"/>
      <c r="K2015" s="10"/>
      <c r="L2015" s="10"/>
      <c r="M2015" s="10"/>
      <c r="N2015" s="10"/>
      <c r="O2015" s="3"/>
      <c r="P2015" s="10"/>
    </row>
    <row r="2016" spans="1:16" x14ac:dyDescent="0.15">
      <c r="A2016" s="10"/>
      <c r="B2016" s="3"/>
      <c r="C2016" s="10"/>
      <c r="D2016" s="10"/>
      <c r="E2016" s="10"/>
      <c r="F2016" s="10"/>
      <c r="G2016" s="10"/>
      <c r="H2016" s="10"/>
      <c r="I2016" s="10"/>
      <c r="J2016" s="10"/>
      <c r="K2016" s="10"/>
      <c r="L2016" s="10"/>
      <c r="M2016" s="10"/>
      <c r="N2016" s="10"/>
      <c r="O2016" s="3"/>
      <c r="P2016" s="10"/>
    </row>
    <row r="2017" spans="1:16" x14ac:dyDescent="0.15">
      <c r="A2017" s="10"/>
      <c r="B2017" s="3"/>
      <c r="C2017" s="10"/>
      <c r="D2017" s="10"/>
      <c r="E2017" s="10"/>
      <c r="F2017" s="10"/>
      <c r="G2017" s="10"/>
      <c r="H2017" s="10"/>
      <c r="I2017" s="10"/>
      <c r="J2017" s="10"/>
      <c r="K2017" s="10"/>
      <c r="L2017" s="10"/>
      <c r="M2017" s="10"/>
      <c r="N2017" s="10"/>
      <c r="O2017" s="3"/>
      <c r="P2017" s="10"/>
    </row>
    <row r="2018" spans="1:16" x14ac:dyDescent="0.15">
      <c r="A2018" s="10"/>
      <c r="B2018" s="3"/>
      <c r="C2018" s="10"/>
      <c r="D2018" s="10"/>
      <c r="E2018" s="10"/>
      <c r="F2018" s="10"/>
      <c r="G2018" s="10"/>
      <c r="H2018" s="10"/>
      <c r="I2018" s="10"/>
      <c r="J2018" s="10"/>
      <c r="K2018" s="10"/>
      <c r="L2018" s="10"/>
      <c r="M2018" s="10"/>
      <c r="N2018" s="10"/>
      <c r="O2018" s="3"/>
      <c r="P2018" s="10"/>
    </row>
    <row r="2019" spans="1:16" x14ac:dyDescent="0.15">
      <c r="A2019" s="10"/>
      <c r="B2019" s="3"/>
      <c r="C2019" s="10"/>
      <c r="D2019" s="10"/>
      <c r="E2019" s="10"/>
      <c r="F2019" s="10"/>
      <c r="G2019" s="10"/>
      <c r="H2019" s="10"/>
      <c r="I2019" s="10"/>
      <c r="J2019" s="10"/>
      <c r="K2019" s="10"/>
      <c r="L2019" s="10"/>
      <c r="M2019" s="10"/>
      <c r="N2019" s="10"/>
      <c r="O2019" s="3"/>
      <c r="P2019" s="10"/>
    </row>
    <row r="2020" spans="1:16" x14ac:dyDescent="0.15">
      <c r="A2020" s="10"/>
      <c r="B2020" s="3"/>
      <c r="C2020" s="10"/>
      <c r="D2020" s="10"/>
      <c r="E2020" s="10"/>
      <c r="F2020" s="10"/>
      <c r="G2020" s="10"/>
      <c r="H2020" s="10"/>
      <c r="I2020" s="10"/>
      <c r="J2020" s="10"/>
      <c r="K2020" s="10"/>
      <c r="L2020" s="10"/>
      <c r="M2020" s="10"/>
      <c r="N2020" s="10"/>
      <c r="O2020" s="3"/>
      <c r="P2020" s="10"/>
    </row>
    <row r="2021" spans="1:16" x14ac:dyDescent="0.15">
      <c r="A2021" s="10"/>
      <c r="B2021" s="3"/>
      <c r="C2021" s="10"/>
      <c r="D2021" s="10"/>
      <c r="E2021" s="10"/>
      <c r="F2021" s="10"/>
      <c r="G2021" s="10"/>
      <c r="H2021" s="10"/>
      <c r="I2021" s="10"/>
      <c r="J2021" s="10"/>
      <c r="K2021" s="10"/>
      <c r="L2021" s="10"/>
      <c r="M2021" s="10"/>
      <c r="N2021" s="10"/>
      <c r="O2021" s="3"/>
      <c r="P2021" s="10"/>
    </row>
    <row r="2022" spans="1:16" x14ac:dyDescent="0.15">
      <c r="A2022" s="10"/>
      <c r="B2022" s="3"/>
      <c r="C2022" s="10"/>
      <c r="D2022" s="10"/>
      <c r="E2022" s="10"/>
      <c r="F2022" s="10"/>
      <c r="G2022" s="10"/>
      <c r="H2022" s="10"/>
      <c r="I2022" s="10"/>
      <c r="J2022" s="10"/>
      <c r="K2022" s="10"/>
      <c r="L2022" s="10"/>
      <c r="M2022" s="10"/>
      <c r="N2022" s="10"/>
      <c r="O2022" s="3"/>
      <c r="P2022" s="10"/>
    </row>
    <row r="2023" spans="1:16" x14ac:dyDescent="0.15">
      <c r="A2023" s="10"/>
      <c r="B2023" s="3"/>
      <c r="C2023" s="10"/>
      <c r="D2023" s="10"/>
      <c r="E2023" s="10"/>
      <c r="F2023" s="10"/>
      <c r="G2023" s="10"/>
      <c r="H2023" s="10"/>
      <c r="I2023" s="10"/>
      <c r="J2023" s="10"/>
      <c r="K2023" s="10"/>
      <c r="L2023" s="10"/>
      <c r="M2023" s="10"/>
      <c r="N2023" s="10"/>
      <c r="O2023" s="3"/>
      <c r="P2023" s="10"/>
    </row>
    <row r="2024" spans="1:16" x14ac:dyDescent="0.15">
      <c r="A2024" s="10"/>
      <c r="B2024" s="3"/>
      <c r="C2024" s="10"/>
      <c r="D2024" s="10"/>
      <c r="E2024" s="10"/>
      <c r="F2024" s="10"/>
      <c r="G2024" s="10"/>
      <c r="H2024" s="10"/>
      <c r="I2024" s="10"/>
      <c r="J2024" s="10"/>
      <c r="K2024" s="10"/>
      <c r="L2024" s="10"/>
      <c r="M2024" s="10"/>
      <c r="N2024" s="10"/>
      <c r="O2024" s="3"/>
      <c r="P2024" s="10"/>
    </row>
    <row r="2025" spans="1:16" x14ac:dyDescent="0.15">
      <c r="A2025" s="10"/>
      <c r="B2025" s="3"/>
      <c r="C2025" s="10"/>
      <c r="D2025" s="10"/>
      <c r="E2025" s="10"/>
      <c r="F2025" s="10"/>
      <c r="G2025" s="10"/>
      <c r="H2025" s="10"/>
      <c r="I2025" s="10"/>
      <c r="J2025" s="10"/>
      <c r="K2025" s="10"/>
      <c r="L2025" s="10"/>
      <c r="M2025" s="10"/>
      <c r="N2025" s="10"/>
      <c r="O2025" s="3"/>
      <c r="P2025" s="10"/>
    </row>
    <row r="2026" spans="1:16" x14ac:dyDescent="0.15">
      <c r="A2026" s="10"/>
      <c r="B2026" s="3"/>
      <c r="C2026" s="10"/>
      <c r="D2026" s="10"/>
      <c r="E2026" s="10"/>
      <c r="F2026" s="10"/>
      <c r="G2026" s="10"/>
      <c r="H2026" s="10"/>
      <c r="I2026" s="10"/>
      <c r="J2026" s="10"/>
      <c r="K2026" s="10"/>
      <c r="L2026" s="10"/>
      <c r="M2026" s="10"/>
      <c r="N2026" s="10"/>
      <c r="O2026" s="3"/>
      <c r="P2026" s="10"/>
    </row>
    <row r="2027" spans="1:16" x14ac:dyDescent="0.15">
      <c r="A2027" s="10"/>
      <c r="B2027" s="3"/>
      <c r="C2027" s="10"/>
      <c r="D2027" s="10"/>
      <c r="E2027" s="10"/>
      <c r="F2027" s="10"/>
      <c r="G2027" s="10"/>
      <c r="H2027" s="10"/>
      <c r="I2027" s="10"/>
      <c r="J2027" s="10"/>
      <c r="K2027" s="10"/>
      <c r="L2027" s="10"/>
      <c r="M2027" s="10"/>
      <c r="N2027" s="10"/>
      <c r="O2027" s="3"/>
      <c r="P2027" s="10"/>
    </row>
    <row r="2028" spans="1:16" x14ac:dyDescent="0.15">
      <c r="A2028" s="10"/>
      <c r="B2028" s="3"/>
      <c r="C2028" s="10"/>
      <c r="D2028" s="10"/>
      <c r="E2028" s="10"/>
      <c r="F2028" s="10"/>
      <c r="G2028" s="10"/>
      <c r="H2028" s="10"/>
      <c r="I2028" s="10"/>
      <c r="J2028" s="10"/>
      <c r="K2028" s="10"/>
      <c r="L2028" s="10"/>
      <c r="M2028" s="10"/>
      <c r="N2028" s="10"/>
      <c r="O2028" s="3"/>
      <c r="P2028" s="10"/>
    </row>
    <row r="2029" spans="1:16" x14ac:dyDescent="0.15">
      <c r="A2029" s="10"/>
      <c r="B2029" s="3"/>
      <c r="C2029" s="10"/>
      <c r="D2029" s="10"/>
      <c r="E2029" s="10"/>
      <c r="F2029" s="10"/>
      <c r="G2029" s="10"/>
      <c r="H2029" s="10"/>
      <c r="I2029" s="10"/>
      <c r="J2029" s="10"/>
      <c r="K2029" s="10"/>
      <c r="L2029" s="10"/>
      <c r="M2029" s="10"/>
      <c r="N2029" s="10"/>
      <c r="O2029" s="3"/>
      <c r="P2029" s="10"/>
    </row>
    <row r="2030" spans="1:16" x14ac:dyDescent="0.15">
      <c r="A2030" s="10"/>
      <c r="B2030" s="3"/>
      <c r="C2030" s="10"/>
      <c r="D2030" s="10"/>
      <c r="E2030" s="10"/>
      <c r="F2030" s="10"/>
      <c r="G2030" s="10"/>
      <c r="H2030" s="10"/>
      <c r="I2030" s="10"/>
      <c r="J2030" s="10"/>
      <c r="K2030" s="10"/>
      <c r="L2030" s="10"/>
      <c r="M2030" s="10"/>
      <c r="N2030" s="10"/>
      <c r="O2030" s="3"/>
      <c r="P2030" s="10"/>
    </row>
    <row r="2031" spans="1:16" x14ac:dyDescent="0.15">
      <c r="A2031" s="10"/>
      <c r="B2031" s="3"/>
      <c r="C2031" s="10"/>
      <c r="D2031" s="10"/>
      <c r="E2031" s="10"/>
      <c r="F2031" s="10"/>
      <c r="G2031" s="10"/>
      <c r="H2031" s="10"/>
      <c r="I2031" s="10"/>
      <c r="J2031" s="10"/>
      <c r="K2031" s="10"/>
      <c r="L2031" s="10"/>
      <c r="M2031" s="10"/>
      <c r="N2031" s="10"/>
      <c r="O2031" s="3"/>
      <c r="P2031" s="10"/>
    </row>
    <row r="2032" spans="1:16" x14ac:dyDescent="0.15">
      <c r="A2032" s="10"/>
      <c r="B2032" s="3"/>
      <c r="C2032" s="10"/>
      <c r="D2032" s="10"/>
      <c r="E2032" s="10"/>
      <c r="F2032" s="10"/>
      <c r="G2032" s="10"/>
      <c r="H2032" s="10"/>
      <c r="I2032" s="10"/>
      <c r="J2032" s="10"/>
      <c r="K2032" s="10"/>
      <c r="L2032" s="10"/>
      <c r="M2032" s="10"/>
      <c r="N2032" s="10"/>
      <c r="O2032" s="3"/>
      <c r="P2032" s="10"/>
    </row>
    <row r="2033" spans="1:16" x14ac:dyDescent="0.15">
      <c r="A2033" s="10"/>
      <c r="B2033" s="3"/>
      <c r="C2033" s="10"/>
      <c r="D2033" s="10"/>
      <c r="E2033" s="10"/>
      <c r="F2033" s="10"/>
      <c r="G2033" s="10"/>
      <c r="H2033" s="10"/>
      <c r="I2033" s="10"/>
      <c r="J2033" s="10"/>
      <c r="K2033" s="10"/>
      <c r="L2033" s="10"/>
      <c r="M2033" s="10"/>
      <c r="N2033" s="10"/>
      <c r="O2033" s="3"/>
      <c r="P2033" s="10"/>
    </row>
    <row r="2034" spans="1:16" x14ac:dyDescent="0.15">
      <c r="A2034" s="10"/>
      <c r="B2034" s="3"/>
      <c r="C2034" s="10"/>
      <c r="D2034" s="10"/>
      <c r="E2034" s="10"/>
      <c r="F2034" s="10"/>
      <c r="G2034" s="10"/>
      <c r="H2034" s="10"/>
      <c r="I2034" s="10"/>
      <c r="J2034" s="10"/>
      <c r="K2034" s="10"/>
      <c r="L2034" s="10"/>
      <c r="M2034" s="10"/>
      <c r="N2034" s="10"/>
      <c r="O2034" s="3"/>
      <c r="P2034" s="10"/>
    </row>
    <row r="2035" spans="1:16" x14ac:dyDescent="0.15">
      <c r="A2035" s="10"/>
      <c r="B2035" s="3"/>
      <c r="C2035" s="10"/>
      <c r="D2035" s="10"/>
      <c r="E2035" s="10"/>
      <c r="F2035" s="10"/>
      <c r="G2035" s="10"/>
      <c r="H2035" s="10"/>
      <c r="I2035" s="10"/>
      <c r="J2035" s="10"/>
      <c r="K2035" s="10"/>
      <c r="L2035" s="10"/>
      <c r="M2035" s="10"/>
      <c r="N2035" s="10"/>
      <c r="O2035" s="3"/>
      <c r="P2035" s="10"/>
    </row>
    <row r="2036" spans="1:16" x14ac:dyDescent="0.15">
      <c r="A2036" s="10"/>
      <c r="B2036" s="3"/>
      <c r="C2036" s="10"/>
      <c r="D2036" s="10"/>
      <c r="E2036" s="10"/>
      <c r="F2036" s="10"/>
      <c r="G2036" s="10"/>
      <c r="H2036" s="10"/>
      <c r="I2036" s="10"/>
      <c r="J2036" s="10"/>
      <c r="K2036" s="10"/>
      <c r="L2036" s="10"/>
      <c r="M2036" s="10"/>
      <c r="N2036" s="10"/>
      <c r="O2036" s="3"/>
      <c r="P2036" s="10"/>
    </row>
    <row r="2037" spans="1:16" x14ac:dyDescent="0.15">
      <c r="A2037" s="10"/>
      <c r="B2037" s="3"/>
      <c r="C2037" s="10"/>
      <c r="D2037" s="10"/>
      <c r="E2037" s="10"/>
      <c r="F2037" s="10"/>
      <c r="G2037" s="10"/>
      <c r="H2037" s="10"/>
      <c r="I2037" s="10"/>
      <c r="J2037" s="10"/>
      <c r="K2037" s="10"/>
      <c r="L2037" s="10"/>
      <c r="M2037" s="10"/>
      <c r="N2037" s="10"/>
      <c r="O2037" s="3"/>
      <c r="P2037" s="10"/>
    </row>
    <row r="2038" spans="1:16" x14ac:dyDescent="0.15">
      <c r="A2038" s="10"/>
      <c r="B2038" s="3"/>
      <c r="C2038" s="10"/>
      <c r="D2038" s="10"/>
      <c r="E2038" s="10"/>
      <c r="F2038" s="10"/>
      <c r="G2038" s="10"/>
      <c r="H2038" s="10"/>
      <c r="I2038" s="10"/>
      <c r="J2038" s="10"/>
      <c r="K2038" s="10"/>
      <c r="L2038" s="10"/>
      <c r="M2038" s="10"/>
      <c r="N2038" s="10"/>
      <c r="O2038" s="3"/>
      <c r="P2038" s="10"/>
    </row>
    <row r="2039" spans="1:16" x14ac:dyDescent="0.15">
      <c r="A2039" s="10"/>
      <c r="B2039" s="3"/>
      <c r="C2039" s="10"/>
      <c r="D2039" s="10"/>
      <c r="E2039" s="10"/>
      <c r="F2039" s="10"/>
      <c r="G2039" s="10"/>
      <c r="H2039" s="10"/>
      <c r="I2039" s="10"/>
      <c r="J2039" s="10"/>
      <c r="K2039" s="10"/>
      <c r="L2039" s="10"/>
      <c r="M2039" s="10"/>
      <c r="N2039" s="10"/>
      <c r="O2039" s="3"/>
      <c r="P2039" s="10"/>
    </row>
    <row r="2040" spans="1:16" x14ac:dyDescent="0.15">
      <c r="A2040" s="10"/>
      <c r="B2040" s="3"/>
      <c r="C2040" s="10"/>
      <c r="D2040" s="10"/>
      <c r="E2040" s="10"/>
      <c r="F2040" s="10"/>
      <c r="G2040" s="10"/>
      <c r="H2040" s="10"/>
      <c r="I2040" s="10"/>
      <c r="J2040" s="10"/>
      <c r="K2040" s="10"/>
      <c r="L2040" s="10"/>
      <c r="M2040" s="10"/>
      <c r="N2040" s="10"/>
      <c r="O2040" s="3"/>
      <c r="P2040" s="10"/>
    </row>
    <row r="2041" spans="1:16" x14ac:dyDescent="0.15">
      <c r="A2041" s="10"/>
      <c r="B2041" s="3"/>
      <c r="C2041" s="10"/>
      <c r="D2041" s="10"/>
      <c r="E2041" s="10"/>
      <c r="F2041" s="10"/>
      <c r="G2041" s="10"/>
      <c r="H2041" s="10"/>
      <c r="I2041" s="10"/>
      <c r="J2041" s="10"/>
      <c r="K2041" s="10"/>
      <c r="L2041" s="10"/>
      <c r="M2041" s="10"/>
      <c r="N2041" s="10"/>
      <c r="O2041" s="3"/>
      <c r="P2041" s="10"/>
    </row>
    <row r="2042" spans="1:16" x14ac:dyDescent="0.15">
      <c r="A2042" s="10"/>
      <c r="B2042" s="3"/>
      <c r="C2042" s="10"/>
      <c r="D2042" s="10"/>
      <c r="E2042" s="10"/>
      <c r="F2042" s="10"/>
      <c r="G2042" s="10"/>
      <c r="H2042" s="10"/>
      <c r="I2042" s="10"/>
      <c r="J2042" s="10"/>
      <c r="K2042" s="10"/>
      <c r="L2042" s="10"/>
      <c r="M2042" s="10"/>
      <c r="N2042" s="10"/>
      <c r="O2042" s="3"/>
      <c r="P2042" s="10"/>
    </row>
    <row r="2043" spans="1:16" x14ac:dyDescent="0.15">
      <c r="A2043" s="10"/>
      <c r="B2043" s="3"/>
      <c r="C2043" s="10"/>
      <c r="D2043" s="10"/>
      <c r="E2043" s="10"/>
      <c r="F2043" s="10"/>
      <c r="G2043" s="10"/>
      <c r="H2043" s="10"/>
      <c r="I2043" s="10"/>
      <c r="J2043" s="10"/>
      <c r="K2043" s="10"/>
      <c r="L2043" s="10"/>
      <c r="M2043" s="10"/>
      <c r="N2043" s="10"/>
      <c r="O2043" s="3"/>
      <c r="P2043" s="10"/>
    </row>
    <row r="2044" spans="1:16" x14ac:dyDescent="0.15">
      <c r="A2044" s="10"/>
      <c r="B2044" s="3"/>
      <c r="C2044" s="10"/>
      <c r="D2044" s="10"/>
      <c r="E2044" s="10"/>
      <c r="F2044" s="10"/>
      <c r="G2044" s="10"/>
      <c r="H2044" s="10"/>
      <c r="I2044" s="10"/>
      <c r="J2044" s="10"/>
      <c r="K2044" s="10"/>
      <c r="L2044" s="10"/>
      <c r="M2044" s="10"/>
      <c r="N2044" s="10"/>
      <c r="O2044" s="3"/>
      <c r="P2044" s="10"/>
    </row>
    <row r="2045" spans="1:16" x14ac:dyDescent="0.15">
      <c r="A2045" s="10"/>
      <c r="B2045" s="3"/>
      <c r="C2045" s="10"/>
      <c r="D2045" s="10"/>
      <c r="E2045" s="10"/>
      <c r="F2045" s="10"/>
      <c r="G2045" s="10"/>
      <c r="H2045" s="10"/>
      <c r="I2045" s="10"/>
      <c r="J2045" s="10"/>
      <c r="K2045" s="10"/>
      <c r="L2045" s="10"/>
      <c r="M2045" s="10"/>
      <c r="N2045" s="10"/>
      <c r="O2045" s="3"/>
      <c r="P2045" s="10"/>
    </row>
    <row r="2046" spans="1:16" x14ac:dyDescent="0.15">
      <c r="A2046" s="10"/>
      <c r="B2046" s="3"/>
      <c r="C2046" s="10"/>
      <c r="D2046" s="10"/>
      <c r="E2046" s="10"/>
      <c r="F2046" s="10"/>
      <c r="G2046" s="10"/>
      <c r="H2046" s="10"/>
      <c r="I2046" s="10"/>
      <c r="J2046" s="10"/>
      <c r="K2046" s="10"/>
      <c r="L2046" s="10"/>
      <c r="M2046" s="10"/>
      <c r="N2046" s="10"/>
      <c r="O2046" s="3"/>
      <c r="P2046" s="10"/>
    </row>
    <row r="2047" spans="1:16" x14ac:dyDescent="0.15">
      <c r="A2047" s="10"/>
      <c r="B2047" s="3"/>
      <c r="C2047" s="10"/>
      <c r="D2047" s="10"/>
      <c r="E2047" s="10"/>
      <c r="F2047" s="10"/>
      <c r="G2047" s="10"/>
      <c r="H2047" s="10"/>
      <c r="I2047" s="10"/>
      <c r="J2047" s="10"/>
      <c r="K2047" s="10"/>
      <c r="L2047" s="10"/>
      <c r="M2047" s="10"/>
      <c r="N2047" s="10"/>
      <c r="O2047" s="3"/>
      <c r="P2047" s="10"/>
    </row>
    <row r="2048" spans="1:16" x14ac:dyDescent="0.15">
      <c r="A2048" s="10"/>
      <c r="B2048" s="3"/>
      <c r="C2048" s="10"/>
      <c r="D2048" s="10"/>
      <c r="E2048" s="10"/>
      <c r="F2048" s="10"/>
      <c r="G2048" s="10"/>
      <c r="H2048" s="10"/>
      <c r="I2048" s="10"/>
      <c r="J2048" s="10"/>
      <c r="K2048" s="10"/>
      <c r="L2048" s="10"/>
      <c r="M2048" s="10"/>
      <c r="N2048" s="10"/>
      <c r="O2048" s="3"/>
      <c r="P2048" s="10"/>
    </row>
    <row r="2049" spans="1:16" x14ac:dyDescent="0.15">
      <c r="A2049" s="10"/>
      <c r="B2049" s="3"/>
      <c r="C2049" s="10"/>
      <c r="D2049" s="10"/>
      <c r="E2049" s="10"/>
      <c r="F2049" s="10"/>
      <c r="G2049" s="10"/>
      <c r="H2049" s="10"/>
      <c r="I2049" s="10"/>
      <c r="J2049" s="10"/>
      <c r="K2049" s="10"/>
      <c r="L2049" s="10"/>
      <c r="M2049" s="10"/>
      <c r="N2049" s="10"/>
      <c r="O2049" s="3"/>
      <c r="P2049" s="10"/>
    </row>
    <row r="2050" spans="1:16" x14ac:dyDescent="0.15">
      <c r="A2050" s="10"/>
      <c r="B2050" s="3"/>
      <c r="C2050" s="10"/>
      <c r="D2050" s="10"/>
      <c r="E2050" s="10"/>
      <c r="F2050" s="10"/>
      <c r="G2050" s="10"/>
      <c r="H2050" s="10"/>
      <c r="I2050" s="10"/>
      <c r="J2050" s="10"/>
      <c r="K2050" s="10"/>
      <c r="L2050" s="10"/>
      <c r="M2050" s="10"/>
      <c r="N2050" s="10"/>
      <c r="O2050" s="3"/>
      <c r="P2050" s="10"/>
    </row>
    <row r="2051" spans="1:16" x14ac:dyDescent="0.15">
      <c r="A2051" s="10"/>
      <c r="B2051" s="3"/>
      <c r="C2051" s="10"/>
      <c r="D2051" s="10"/>
      <c r="E2051" s="10"/>
      <c r="F2051" s="10"/>
      <c r="G2051" s="10"/>
      <c r="H2051" s="10"/>
      <c r="I2051" s="10"/>
      <c r="J2051" s="10"/>
      <c r="K2051" s="10"/>
      <c r="L2051" s="10"/>
      <c r="M2051" s="10"/>
      <c r="N2051" s="10"/>
      <c r="O2051" s="3"/>
      <c r="P2051" s="10"/>
    </row>
    <row r="2052" spans="1:16" x14ac:dyDescent="0.15">
      <c r="A2052" s="10"/>
      <c r="B2052" s="3"/>
      <c r="C2052" s="10"/>
      <c r="D2052" s="10"/>
      <c r="E2052" s="10"/>
      <c r="F2052" s="10"/>
      <c r="G2052" s="10"/>
      <c r="H2052" s="10"/>
      <c r="I2052" s="10"/>
      <c r="J2052" s="10"/>
      <c r="K2052" s="10"/>
      <c r="L2052" s="10"/>
      <c r="M2052" s="10"/>
      <c r="N2052" s="10"/>
      <c r="O2052" s="3"/>
      <c r="P2052" s="10"/>
    </row>
    <row r="2053" spans="1:16" x14ac:dyDescent="0.15">
      <c r="A2053" s="10"/>
      <c r="B2053" s="3"/>
      <c r="C2053" s="10"/>
      <c r="D2053" s="10"/>
      <c r="E2053" s="10"/>
      <c r="F2053" s="10"/>
      <c r="G2053" s="10"/>
      <c r="H2053" s="10"/>
      <c r="I2053" s="10"/>
      <c r="J2053" s="10"/>
      <c r="K2053" s="10"/>
      <c r="L2053" s="10"/>
      <c r="M2053" s="10"/>
      <c r="N2053" s="10"/>
      <c r="O2053" s="3"/>
      <c r="P2053" s="10"/>
    </row>
    <row r="2054" spans="1:16" x14ac:dyDescent="0.15">
      <c r="A2054" s="10"/>
      <c r="B2054" s="3"/>
      <c r="C2054" s="10"/>
      <c r="D2054" s="10"/>
      <c r="E2054" s="10"/>
      <c r="F2054" s="10"/>
      <c r="G2054" s="10"/>
      <c r="H2054" s="10"/>
      <c r="I2054" s="10"/>
      <c r="J2054" s="10"/>
      <c r="K2054" s="10"/>
      <c r="L2054" s="10"/>
      <c r="M2054" s="10"/>
      <c r="N2054" s="10"/>
      <c r="O2054" s="3"/>
      <c r="P2054" s="10"/>
    </row>
    <row r="2055" spans="1:16" x14ac:dyDescent="0.15">
      <c r="A2055" s="10"/>
      <c r="B2055" s="3"/>
      <c r="C2055" s="10"/>
      <c r="D2055" s="10"/>
      <c r="E2055" s="10"/>
      <c r="F2055" s="10"/>
      <c r="G2055" s="10"/>
      <c r="H2055" s="10"/>
      <c r="I2055" s="10"/>
      <c r="J2055" s="10"/>
      <c r="K2055" s="10"/>
      <c r="L2055" s="10"/>
      <c r="M2055" s="10"/>
      <c r="N2055" s="10"/>
      <c r="O2055" s="3"/>
      <c r="P2055" s="10"/>
    </row>
    <row r="2056" spans="1:16" x14ac:dyDescent="0.15">
      <c r="A2056" s="10"/>
      <c r="B2056" s="3"/>
      <c r="C2056" s="10"/>
      <c r="D2056" s="10"/>
      <c r="E2056" s="10"/>
      <c r="F2056" s="10"/>
      <c r="G2056" s="10"/>
      <c r="H2056" s="10"/>
      <c r="I2056" s="10"/>
      <c r="J2056" s="10"/>
      <c r="K2056" s="10"/>
      <c r="L2056" s="10"/>
      <c r="M2056" s="10"/>
      <c r="N2056" s="10"/>
      <c r="O2056" s="3"/>
      <c r="P2056" s="10"/>
    </row>
    <row r="2057" spans="1:16" x14ac:dyDescent="0.15">
      <c r="A2057" s="10"/>
      <c r="B2057" s="3"/>
      <c r="C2057" s="10"/>
      <c r="D2057" s="10"/>
      <c r="E2057" s="10"/>
      <c r="F2057" s="10"/>
      <c r="G2057" s="10"/>
      <c r="H2057" s="10"/>
      <c r="I2057" s="10"/>
      <c r="J2057" s="10"/>
      <c r="K2057" s="10"/>
      <c r="L2057" s="10"/>
      <c r="M2057" s="10"/>
      <c r="N2057" s="10"/>
      <c r="O2057" s="3"/>
      <c r="P2057" s="10"/>
    </row>
    <row r="2058" spans="1:16" x14ac:dyDescent="0.15">
      <c r="A2058" s="10"/>
      <c r="B2058" s="3"/>
      <c r="C2058" s="10"/>
      <c r="D2058" s="10"/>
      <c r="E2058" s="10"/>
      <c r="F2058" s="10"/>
      <c r="G2058" s="10"/>
      <c r="H2058" s="10"/>
      <c r="I2058" s="10"/>
      <c r="J2058" s="10"/>
      <c r="K2058" s="10"/>
      <c r="L2058" s="10"/>
      <c r="M2058" s="10"/>
      <c r="N2058" s="10"/>
      <c r="O2058" s="3"/>
      <c r="P2058" s="10"/>
    </row>
    <row r="2059" spans="1:16" x14ac:dyDescent="0.15">
      <c r="A2059" s="10"/>
      <c r="B2059" s="3"/>
      <c r="C2059" s="10"/>
      <c r="D2059" s="10"/>
      <c r="E2059" s="10"/>
      <c r="F2059" s="10"/>
      <c r="G2059" s="10"/>
      <c r="H2059" s="10"/>
      <c r="I2059" s="10"/>
      <c r="J2059" s="10"/>
      <c r="K2059" s="10"/>
      <c r="L2059" s="10"/>
      <c r="M2059" s="10"/>
      <c r="N2059" s="10"/>
      <c r="O2059" s="3"/>
      <c r="P2059" s="10"/>
    </row>
    <row r="2060" spans="1:16" x14ac:dyDescent="0.15">
      <c r="A2060" s="10"/>
      <c r="B2060" s="3"/>
      <c r="C2060" s="10"/>
      <c r="D2060" s="10"/>
      <c r="E2060" s="10"/>
      <c r="F2060" s="10"/>
      <c r="G2060" s="10"/>
      <c r="H2060" s="10"/>
      <c r="I2060" s="10"/>
      <c r="J2060" s="10"/>
      <c r="K2060" s="10"/>
      <c r="L2060" s="10"/>
      <c r="M2060" s="10"/>
      <c r="N2060" s="10"/>
      <c r="O2060" s="3"/>
      <c r="P2060" s="10"/>
    </row>
    <row r="2061" spans="1:16" x14ac:dyDescent="0.15">
      <c r="A2061" s="10"/>
      <c r="B2061" s="3"/>
      <c r="C2061" s="10"/>
      <c r="D2061" s="10"/>
      <c r="E2061" s="10"/>
      <c r="F2061" s="10"/>
      <c r="G2061" s="10"/>
      <c r="H2061" s="10"/>
      <c r="I2061" s="10"/>
      <c r="J2061" s="10"/>
      <c r="K2061" s="10"/>
      <c r="L2061" s="10"/>
      <c r="M2061" s="10"/>
      <c r="N2061" s="10"/>
      <c r="O2061" s="3"/>
      <c r="P2061" s="10"/>
    </row>
    <row r="2062" spans="1:16" x14ac:dyDescent="0.15">
      <c r="A2062" s="10"/>
      <c r="B2062" s="3"/>
      <c r="C2062" s="10"/>
      <c r="D2062" s="10"/>
      <c r="E2062" s="10"/>
      <c r="F2062" s="10"/>
      <c r="G2062" s="10"/>
      <c r="H2062" s="10"/>
      <c r="I2062" s="10"/>
      <c r="J2062" s="10"/>
      <c r="K2062" s="10"/>
      <c r="L2062" s="10"/>
      <c r="M2062" s="10"/>
      <c r="N2062" s="10"/>
      <c r="O2062" s="3"/>
      <c r="P2062" s="10"/>
    </row>
    <row r="2063" spans="1:16" x14ac:dyDescent="0.15">
      <c r="A2063" s="10"/>
      <c r="B2063" s="3"/>
      <c r="C2063" s="10"/>
      <c r="D2063" s="10"/>
      <c r="E2063" s="10"/>
      <c r="F2063" s="10"/>
      <c r="G2063" s="10"/>
      <c r="H2063" s="10"/>
      <c r="I2063" s="10"/>
      <c r="J2063" s="10"/>
      <c r="K2063" s="10"/>
      <c r="L2063" s="10"/>
      <c r="M2063" s="10"/>
      <c r="N2063" s="10"/>
      <c r="O2063" s="3"/>
      <c r="P2063" s="10"/>
    </row>
    <row r="2064" spans="1:16" x14ac:dyDescent="0.15">
      <c r="A2064" s="10"/>
      <c r="B2064" s="3"/>
      <c r="C2064" s="10"/>
      <c r="D2064" s="10"/>
      <c r="E2064" s="10"/>
      <c r="F2064" s="10"/>
      <c r="G2064" s="10"/>
      <c r="H2064" s="10"/>
      <c r="I2064" s="10"/>
      <c r="J2064" s="10"/>
      <c r="K2064" s="10"/>
      <c r="L2064" s="10"/>
      <c r="M2064" s="10"/>
      <c r="N2064" s="10"/>
      <c r="O2064" s="3"/>
      <c r="P2064" s="10"/>
    </row>
    <row r="2065" spans="1:16" x14ac:dyDescent="0.15">
      <c r="A2065" s="10"/>
      <c r="B2065" s="3"/>
      <c r="C2065" s="10"/>
      <c r="D2065" s="10"/>
      <c r="E2065" s="10"/>
      <c r="F2065" s="10"/>
      <c r="G2065" s="10"/>
      <c r="H2065" s="10"/>
      <c r="I2065" s="10"/>
      <c r="J2065" s="10"/>
      <c r="K2065" s="10"/>
      <c r="L2065" s="10"/>
      <c r="M2065" s="10"/>
      <c r="N2065" s="10"/>
      <c r="O2065" s="3"/>
      <c r="P2065" s="10"/>
    </row>
    <row r="2066" spans="1:16" x14ac:dyDescent="0.15">
      <c r="A2066" s="10"/>
      <c r="B2066" s="3"/>
      <c r="C2066" s="10"/>
      <c r="D2066" s="10"/>
      <c r="E2066" s="10"/>
      <c r="F2066" s="10"/>
      <c r="G2066" s="10"/>
      <c r="H2066" s="10"/>
      <c r="I2066" s="10"/>
      <c r="J2066" s="10"/>
      <c r="K2066" s="10"/>
      <c r="L2066" s="10"/>
      <c r="M2066" s="10"/>
      <c r="N2066" s="10"/>
      <c r="O2066" s="3"/>
      <c r="P2066" s="10"/>
    </row>
    <row r="2067" spans="1:16" x14ac:dyDescent="0.15">
      <c r="A2067" s="10"/>
      <c r="B2067" s="3"/>
      <c r="C2067" s="10"/>
      <c r="D2067" s="10"/>
      <c r="E2067" s="10"/>
      <c r="F2067" s="10"/>
      <c r="G2067" s="10"/>
      <c r="H2067" s="10"/>
      <c r="I2067" s="10"/>
      <c r="J2067" s="10"/>
      <c r="K2067" s="10"/>
      <c r="L2067" s="10"/>
      <c r="M2067" s="10"/>
      <c r="N2067" s="10"/>
      <c r="O2067" s="3"/>
      <c r="P2067" s="10"/>
    </row>
    <row r="2068" spans="1:16" x14ac:dyDescent="0.15">
      <c r="A2068" s="10"/>
      <c r="B2068" s="3"/>
      <c r="C2068" s="10"/>
      <c r="D2068" s="10"/>
      <c r="E2068" s="10"/>
      <c r="F2068" s="10"/>
      <c r="G2068" s="10"/>
      <c r="H2068" s="10"/>
      <c r="I2068" s="10"/>
      <c r="J2068" s="10"/>
      <c r="K2068" s="10"/>
      <c r="L2068" s="10"/>
      <c r="M2068" s="10"/>
      <c r="N2068" s="10"/>
      <c r="O2068" s="3"/>
      <c r="P2068" s="10"/>
    </row>
    <row r="2069" spans="1:16" x14ac:dyDescent="0.15">
      <c r="A2069" s="10"/>
      <c r="B2069" s="3"/>
      <c r="C2069" s="10"/>
      <c r="D2069" s="10"/>
      <c r="E2069" s="10"/>
      <c r="F2069" s="10"/>
      <c r="G2069" s="10"/>
      <c r="H2069" s="10"/>
      <c r="I2069" s="10"/>
      <c r="J2069" s="10"/>
      <c r="K2069" s="10"/>
      <c r="L2069" s="10"/>
      <c r="M2069" s="10"/>
      <c r="N2069" s="10"/>
      <c r="O2069" s="3"/>
      <c r="P2069" s="10"/>
    </row>
    <row r="2070" spans="1:16" x14ac:dyDescent="0.15">
      <c r="A2070" s="10"/>
      <c r="B2070" s="3"/>
      <c r="C2070" s="10"/>
      <c r="D2070" s="10"/>
      <c r="E2070" s="10"/>
      <c r="F2070" s="10"/>
      <c r="G2070" s="10"/>
      <c r="H2070" s="10"/>
      <c r="I2070" s="10"/>
      <c r="J2070" s="10"/>
      <c r="K2070" s="10"/>
      <c r="L2070" s="10"/>
      <c r="M2070" s="10"/>
      <c r="N2070" s="10"/>
      <c r="O2070" s="3"/>
      <c r="P2070" s="10"/>
    </row>
    <row r="2071" spans="1:16" x14ac:dyDescent="0.15">
      <c r="A2071" s="10"/>
      <c r="B2071" s="3"/>
      <c r="C2071" s="10"/>
      <c r="D2071" s="10"/>
      <c r="E2071" s="10"/>
      <c r="F2071" s="10"/>
      <c r="G2071" s="10"/>
      <c r="H2071" s="10"/>
      <c r="I2071" s="10"/>
      <c r="J2071" s="10"/>
      <c r="K2071" s="10"/>
      <c r="L2071" s="10"/>
      <c r="M2071" s="10"/>
      <c r="N2071" s="10"/>
      <c r="O2071" s="3"/>
      <c r="P2071" s="10"/>
    </row>
    <row r="2072" spans="1:16" x14ac:dyDescent="0.15">
      <c r="A2072" s="10"/>
      <c r="B2072" s="3"/>
      <c r="C2072" s="10"/>
      <c r="D2072" s="10"/>
      <c r="E2072" s="10"/>
      <c r="F2072" s="10"/>
      <c r="G2072" s="10"/>
      <c r="H2072" s="10"/>
      <c r="I2072" s="10"/>
      <c r="J2072" s="10"/>
      <c r="K2072" s="10"/>
      <c r="L2072" s="10"/>
      <c r="M2072" s="10"/>
      <c r="N2072" s="10"/>
      <c r="O2072" s="3"/>
      <c r="P2072" s="10"/>
    </row>
    <row r="2073" spans="1:16" x14ac:dyDescent="0.15">
      <c r="A2073" s="10"/>
      <c r="B2073" s="3"/>
      <c r="C2073" s="10"/>
      <c r="D2073" s="10"/>
      <c r="E2073" s="10"/>
      <c r="F2073" s="10"/>
      <c r="G2073" s="10"/>
      <c r="H2073" s="10"/>
      <c r="I2073" s="10"/>
      <c r="J2073" s="10"/>
      <c r="K2073" s="10"/>
      <c r="L2073" s="10"/>
      <c r="M2073" s="10"/>
      <c r="N2073" s="10"/>
      <c r="O2073" s="3"/>
      <c r="P2073" s="10"/>
    </row>
    <row r="2074" spans="1:16" x14ac:dyDescent="0.15">
      <c r="A2074" s="10"/>
      <c r="B2074" s="3"/>
      <c r="C2074" s="10"/>
      <c r="D2074" s="10"/>
      <c r="E2074" s="10"/>
      <c r="F2074" s="10"/>
      <c r="G2074" s="10"/>
      <c r="H2074" s="10"/>
      <c r="I2074" s="10"/>
      <c r="J2074" s="10"/>
      <c r="K2074" s="10"/>
      <c r="L2074" s="10"/>
      <c r="M2074" s="10"/>
      <c r="N2074" s="10"/>
      <c r="O2074" s="3"/>
      <c r="P2074" s="10"/>
    </row>
    <row r="2075" spans="1:16" x14ac:dyDescent="0.15">
      <c r="A2075" s="10"/>
      <c r="B2075" s="3"/>
      <c r="C2075" s="10"/>
      <c r="D2075" s="10"/>
      <c r="E2075" s="10"/>
      <c r="F2075" s="10"/>
      <c r="G2075" s="10"/>
      <c r="H2075" s="10"/>
      <c r="I2075" s="10"/>
      <c r="J2075" s="10"/>
      <c r="K2075" s="10"/>
      <c r="L2075" s="10"/>
      <c r="M2075" s="10"/>
      <c r="N2075" s="10"/>
      <c r="O2075" s="3"/>
      <c r="P2075" s="10"/>
    </row>
    <row r="2076" spans="1:16" x14ac:dyDescent="0.15">
      <c r="A2076" s="10"/>
      <c r="B2076" s="3"/>
      <c r="C2076" s="10"/>
      <c r="D2076" s="10"/>
      <c r="E2076" s="10"/>
      <c r="F2076" s="10"/>
      <c r="G2076" s="10"/>
      <c r="H2076" s="10"/>
      <c r="I2076" s="10"/>
      <c r="J2076" s="10"/>
      <c r="K2076" s="10"/>
      <c r="L2076" s="10"/>
      <c r="M2076" s="10"/>
      <c r="N2076" s="10"/>
      <c r="O2076" s="3"/>
      <c r="P2076" s="10"/>
    </row>
    <row r="2077" spans="1:16" x14ac:dyDescent="0.15">
      <c r="A2077" s="10"/>
      <c r="B2077" s="3"/>
      <c r="C2077" s="10"/>
      <c r="D2077" s="10"/>
      <c r="E2077" s="10"/>
      <c r="F2077" s="10"/>
      <c r="G2077" s="10"/>
      <c r="H2077" s="10"/>
      <c r="I2077" s="10"/>
      <c r="J2077" s="10"/>
      <c r="K2077" s="10"/>
      <c r="L2077" s="10"/>
      <c r="M2077" s="10"/>
      <c r="N2077" s="10"/>
      <c r="O2077" s="3"/>
      <c r="P2077" s="10"/>
    </row>
    <row r="2078" spans="1:16" x14ac:dyDescent="0.15">
      <c r="A2078" s="10"/>
      <c r="B2078" s="3"/>
      <c r="C2078" s="10"/>
      <c r="D2078" s="10"/>
      <c r="E2078" s="10"/>
      <c r="F2078" s="10"/>
      <c r="G2078" s="10"/>
      <c r="H2078" s="10"/>
      <c r="I2078" s="10"/>
      <c r="J2078" s="10"/>
      <c r="K2078" s="10"/>
      <c r="L2078" s="10"/>
      <c r="M2078" s="10"/>
      <c r="N2078" s="10"/>
      <c r="O2078" s="3"/>
      <c r="P2078" s="10"/>
    </row>
    <row r="2079" spans="1:16" x14ac:dyDescent="0.15">
      <c r="A2079" s="10"/>
      <c r="B2079" s="3"/>
      <c r="C2079" s="10"/>
      <c r="D2079" s="10"/>
      <c r="E2079" s="10"/>
      <c r="F2079" s="10"/>
      <c r="G2079" s="10"/>
      <c r="H2079" s="10"/>
      <c r="I2079" s="10"/>
      <c r="J2079" s="10"/>
      <c r="K2079" s="10"/>
      <c r="L2079" s="10"/>
      <c r="M2079" s="10"/>
      <c r="N2079" s="10"/>
      <c r="O2079" s="3"/>
      <c r="P2079" s="10"/>
    </row>
    <row r="2080" spans="1:16" x14ac:dyDescent="0.15">
      <c r="A2080" s="10"/>
      <c r="B2080" s="3"/>
      <c r="C2080" s="10"/>
      <c r="D2080" s="10"/>
      <c r="E2080" s="10"/>
      <c r="F2080" s="10"/>
      <c r="G2080" s="10"/>
      <c r="H2080" s="10"/>
      <c r="I2080" s="10"/>
      <c r="J2080" s="10"/>
      <c r="K2080" s="10"/>
      <c r="L2080" s="10"/>
      <c r="M2080" s="10"/>
      <c r="N2080" s="10"/>
      <c r="O2080" s="3"/>
      <c r="P2080" s="10"/>
    </row>
    <row r="2081" spans="1:16" x14ac:dyDescent="0.15">
      <c r="A2081" s="10"/>
      <c r="B2081" s="3"/>
      <c r="C2081" s="10"/>
      <c r="D2081" s="10"/>
      <c r="E2081" s="10"/>
      <c r="F2081" s="10"/>
      <c r="G2081" s="10"/>
      <c r="H2081" s="10"/>
      <c r="I2081" s="10"/>
      <c r="J2081" s="10"/>
      <c r="K2081" s="10"/>
      <c r="L2081" s="10"/>
      <c r="M2081" s="10"/>
      <c r="N2081" s="10"/>
      <c r="O2081" s="3"/>
      <c r="P2081" s="10"/>
    </row>
    <row r="2082" spans="1:16" x14ac:dyDescent="0.15">
      <c r="A2082" s="10"/>
      <c r="B2082" s="3"/>
      <c r="C2082" s="10"/>
      <c r="D2082" s="10"/>
      <c r="E2082" s="10"/>
      <c r="F2082" s="10"/>
      <c r="G2082" s="10"/>
      <c r="H2082" s="10"/>
      <c r="I2082" s="10"/>
      <c r="J2082" s="10"/>
      <c r="K2082" s="10"/>
      <c r="L2082" s="10"/>
      <c r="M2082" s="10"/>
      <c r="N2082" s="10"/>
      <c r="O2082" s="3"/>
      <c r="P2082" s="10"/>
    </row>
    <row r="2083" spans="1:16" x14ac:dyDescent="0.15">
      <c r="A2083" s="10"/>
      <c r="B2083" s="3"/>
      <c r="C2083" s="10"/>
      <c r="D2083" s="10"/>
      <c r="E2083" s="10"/>
      <c r="F2083" s="10"/>
      <c r="G2083" s="10"/>
      <c r="H2083" s="10"/>
      <c r="I2083" s="10"/>
      <c r="J2083" s="10"/>
      <c r="K2083" s="10"/>
      <c r="L2083" s="10"/>
      <c r="M2083" s="10"/>
      <c r="N2083" s="10"/>
      <c r="O2083" s="3"/>
      <c r="P2083" s="10"/>
    </row>
    <row r="2084" spans="1:16" x14ac:dyDescent="0.15">
      <c r="A2084" s="10"/>
      <c r="B2084" s="3"/>
      <c r="C2084" s="10"/>
      <c r="D2084" s="10"/>
      <c r="E2084" s="10"/>
      <c r="F2084" s="10"/>
      <c r="G2084" s="10"/>
      <c r="H2084" s="10"/>
      <c r="I2084" s="10"/>
      <c r="J2084" s="10"/>
      <c r="K2084" s="10"/>
      <c r="L2084" s="10"/>
      <c r="M2084" s="10"/>
      <c r="N2084" s="10"/>
      <c r="O2084" s="3"/>
      <c r="P2084" s="10"/>
    </row>
    <row r="2085" spans="1:16" x14ac:dyDescent="0.15">
      <c r="A2085" s="10"/>
      <c r="B2085" s="3"/>
      <c r="C2085" s="10"/>
      <c r="D2085" s="10"/>
      <c r="E2085" s="10"/>
      <c r="F2085" s="10"/>
      <c r="G2085" s="10"/>
      <c r="H2085" s="10"/>
      <c r="I2085" s="10"/>
      <c r="J2085" s="10"/>
      <c r="K2085" s="10"/>
      <c r="L2085" s="10"/>
      <c r="M2085" s="10"/>
      <c r="N2085" s="10"/>
      <c r="O2085" s="3"/>
      <c r="P2085" s="10"/>
    </row>
    <row r="2086" spans="1:16" x14ac:dyDescent="0.15">
      <c r="A2086" s="10"/>
      <c r="B2086" s="3"/>
      <c r="C2086" s="10"/>
      <c r="D2086" s="10"/>
      <c r="E2086" s="10"/>
      <c r="F2086" s="10"/>
      <c r="G2086" s="10"/>
      <c r="H2086" s="10"/>
      <c r="I2086" s="10"/>
      <c r="J2086" s="10"/>
      <c r="K2086" s="10"/>
      <c r="L2086" s="10"/>
      <c r="M2086" s="10"/>
      <c r="N2086" s="10"/>
      <c r="O2086" s="3"/>
      <c r="P2086" s="10"/>
    </row>
    <row r="2087" spans="1:16" x14ac:dyDescent="0.15">
      <c r="A2087" s="10"/>
      <c r="B2087" s="3"/>
      <c r="C2087" s="10"/>
      <c r="D2087" s="10"/>
      <c r="E2087" s="10"/>
      <c r="F2087" s="10"/>
      <c r="G2087" s="10"/>
      <c r="H2087" s="10"/>
      <c r="I2087" s="10"/>
      <c r="J2087" s="10"/>
      <c r="K2087" s="10"/>
      <c r="L2087" s="10"/>
      <c r="M2087" s="10"/>
      <c r="N2087" s="10"/>
      <c r="O2087" s="3"/>
      <c r="P2087" s="10"/>
    </row>
    <row r="2088" spans="1:16" x14ac:dyDescent="0.15">
      <c r="A2088" s="10"/>
      <c r="B2088" s="3"/>
      <c r="C2088" s="10"/>
      <c r="D2088" s="10"/>
      <c r="E2088" s="10"/>
      <c r="F2088" s="10"/>
      <c r="G2088" s="10"/>
      <c r="H2088" s="10"/>
      <c r="I2088" s="10"/>
      <c r="J2088" s="10"/>
      <c r="K2088" s="10"/>
      <c r="L2088" s="10"/>
      <c r="M2088" s="10"/>
      <c r="N2088" s="10"/>
      <c r="O2088" s="3"/>
      <c r="P2088" s="10"/>
    </row>
    <row r="2089" spans="1:16" x14ac:dyDescent="0.15">
      <c r="A2089" s="10"/>
      <c r="B2089" s="3"/>
      <c r="C2089" s="10"/>
      <c r="D2089" s="10"/>
      <c r="E2089" s="10"/>
      <c r="F2089" s="10"/>
      <c r="G2089" s="10"/>
      <c r="H2089" s="10"/>
      <c r="I2089" s="10"/>
      <c r="J2089" s="10"/>
      <c r="K2089" s="10"/>
      <c r="L2089" s="10"/>
      <c r="M2089" s="10"/>
      <c r="N2089" s="10"/>
      <c r="O2089" s="3"/>
      <c r="P2089" s="10"/>
    </row>
    <row r="2090" spans="1:16" x14ac:dyDescent="0.15">
      <c r="A2090" s="10"/>
      <c r="B2090" s="3"/>
      <c r="C2090" s="10"/>
      <c r="D2090" s="10"/>
      <c r="E2090" s="10"/>
      <c r="F2090" s="10"/>
      <c r="G2090" s="10"/>
      <c r="H2090" s="10"/>
      <c r="I2090" s="10"/>
      <c r="J2090" s="10"/>
      <c r="K2090" s="10"/>
      <c r="L2090" s="10"/>
      <c r="M2090" s="10"/>
      <c r="N2090" s="10"/>
      <c r="O2090" s="3"/>
      <c r="P2090" s="10"/>
    </row>
    <row r="2091" spans="1:16" x14ac:dyDescent="0.15">
      <c r="A2091" s="10"/>
      <c r="B2091" s="3"/>
      <c r="C2091" s="10"/>
      <c r="D2091" s="10"/>
      <c r="E2091" s="10"/>
      <c r="F2091" s="10"/>
      <c r="G2091" s="10"/>
      <c r="H2091" s="10"/>
      <c r="I2091" s="10"/>
      <c r="J2091" s="10"/>
      <c r="K2091" s="10"/>
      <c r="L2091" s="10"/>
      <c r="M2091" s="10"/>
      <c r="N2091" s="10"/>
      <c r="O2091" s="3"/>
      <c r="P2091" s="10"/>
    </row>
    <row r="2092" spans="1:16" x14ac:dyDescent="0.15">
      <c r="A2092" s="10"/>
      <c r="B2092" s="3"/>
      <c r="C2092" s="10"/>
      <c r="D2092" s="10"/>
      <c r="E2092" s="10"/>
      <c r="F2092" s="10"/>
      <c r="G2092" s="10"/>
      <c r="H2092" s="10"/>
      <c r="I2092" s="10"/>
      <c r="J2092" s="10"/>
      <c r="K2092" s="10"/>
      <c r="L2092" s="10"/>
      <c r="M2092" s="10"/>
      <c r="N2092" s="10"/>
      <c r="O2092" s="3"/>
      <c r="P2092" s="10"/>
    </row>
    <row r="2093" spans="1:16" x14ac:dyDescent="0.15">
      <c r="A2093" s="10"/>
      <c r="B2093" s="3"/>
      <c r="C2093" s="10"/>
      <c r="D2093" s="10"/>
      <c r="E2093" s="10"/>
      <c r="F2093" s="10"/>
      <c r="G2093" s="10"/>
      <c r="H2093" s="10"/>
      <c r="I2093" s="10"/>
      <c r="J2093" s="10"/>
      <c r="K2093" s="10"/>
      <c r="L2093" s="10"/>
      <c r="M2093" s="10"/>
      <c r="N2093" s="10"/>
      <c r="O2093" s="3"/>
      <c r="P2093" s="10"/>
    </row>
    <row r="2094" spans="1:16" x14ac:dyDescent="0.15">
      <c r="A2094" s="10"/>
      <c r="B2094" s="3"/>
      <c r="C2094" s="10"/>
      <c r="D2094" s="10"/>
      <c r="E2094" s="10"/>
      <c r="F2094" s="10"/>
      <c r="G2094" s="10"/>
      <c r="H2094" s="10"/>
      <c r="I2094" s="10"/>
      <c r="J2094" s="10"/>
      <c r="K2094" s="10"/>
      <c r="L2094" s="10"/>
      <c r="M2094" s="10"/>
      <c r="N2094" s="10"/>
      <c r="O2094" s="3"/>
      <c r="P2094" s="10"/>
    </row>
    <row r="2095" spans="1:16" x14ac:dyDescent="0.15">
      <c r="A2095" s="10"/>
      <c r="B2095" s="3"/>
      <c r="C2095" s="10"/>
      <c r="D2095" s="10"/>
      <c r="E2095" s="10"/>
      <c r="F2095" s="10"/>
      <c r="G2095" s="10"/>
      <c r="H2095" s="10"/>
      <c r="I2095" s="10"/>
      <c r="J2095" s="10"/>
      <c r="K2095" s="10"/>
      <c r="L2095" s="10"/>
      <c r="M2095" s="10"/>
      <c r="N2095" s="10"/>
      <c r="O2095" s="3"/>
      <c r="P2095" s="10"/>
    </row>
    <row r="2096" spans="1:16" x14ac:dyDescent="0.15">
      <c r="A2096" s="10"/>
      <c r="B2096" s="3"/>
      <c r="C2096" s="10"/>
      <c r="D2096" s="10"/>
      <c r="E2096" s="10"/>
      <c r="F2096" s="10"/>
      <c r="G2096" s="10"/>
      <c r="H2096" s="10"/>
      <c r="I2096" s="10"/>
      <c r="J2096" s="10"/>
      <c r="K2096" s="10"/>
      <c r="L2096" s="10"/>
      <c r="M2096" s="10"/>
      <c r="N2096" s="10"/>
      <c r="O2096" s="3"/>
      <c r="P2096" s="10"/>
    </row>
    <row r="2097" spans="1:16" x14ac:dyDescent="0.15">
      <c r="A2097" s="10"/>
      <c r="B2097" s="3"/>
      <c r="C2097" s="10"/>
      <c r="D2097" s="10"/>
      <c r="E2097" s="10"/>
      <c r="F2097" s="10"/>
      <c r="G2097" s="10"/>
      <c r="H2097" s="10"/>
      <c r="I2097" s="10"/>
      <c r="J2097" s="10"/>
      <c r="K2097" s="10"/>
      <c r="L2097" s="10"/>
      <c r="M2097" s="10"/>
      <c r="N2097" s="10"/>
      <c r="O2097" s="3"/>
      <c r="P2097" s="10"/>
    </row>
    <row r="2098" spans="1:16" x14ac:dyDescent="0.15">
      <c r="A2098" s="10"/>
      <c r="B2098" s="3"/>
      <c r="C2098" s="10"/>
      <c r="D2098" s="10"/>
      <c r="E2098" s="10"/>
      <c r="F2098" s="10"/>
      <c r="G2098" s="10"/>
      <c r="H2098" s="10"/>
      <c r="I2098" s="10"/>
      <c r="J2098" s="10"/>
      <c r="K2098" s="10"/>
      <c r="L2098" s="10"/>
      <c r="M2098" s="10"/>
      <c r="N2098" s="10"/>
      <c r="O2098" s="3"/>
      <c r="P2098" s="10"/>
    </row>
    <row r="2099" spans="1:16" x14ac:dyDescent="0.15">
      <c r="A2099" s="10"/>
      <c r="B2099" s="3"/>
      <c r="C2099" s="10"/>
      <c r="D2099" s="10"/>
      <c r="E2099" s="10"/>
      <c r="F2099" s="10"/>
      <c r="G2099" s="10"/>
      <c r="H2099" s="10"/>
      <c r="I2099" s="10"/>
      <c r="J2099" s="10"/>
      <c r="K2099" s="10"/>
      <c r="L2099" s="10"/>
      <c r="M2099" s="10"/>
      <c r="N2099" s="10"/>
      <c r="O2099" s="3"/>
      <c r="P2099" s="10"/>
    </row>
    <row r="2100" spans="1:16" x14ac:dyDescent="0.15">
      <c r="A2100" s="10"/>
      <c r="B2100" s="3"/>
      <c r="C2100" s="10"/>
      <c r="D2100" s="10"/>
      <c r="E2100" s="10"/>
      <c r="F2100" s="10"/>
      <c r="G2100" s="10"/>
      <c r="H2100" s="10"/>
      <c r="I2100" s="10"/>
      <c r="J2100" s="10"/>
      <c r="K2100" s="10"/>
      <c r="L2100" s="10"/>
      <c r="M2100" s="10"/>
      <c r="N2100" s="10"/>
      <c r="O2100" s="3"/>
      <c r="P2100" s="10"/>
    </row>
    <row r="2101" spans="1:16" x14ac:dyDescent="0.15">
      <c r="A2101" s="10"/>
      <c r="B2101" s="3"/>
      <c r="C2101" s="10"/>
      <c r="D2101" s="10"/>
      <c r="E2101" s="10"/>
      <c r="F2101" s="10"/>
      <c r="G2101" s="10"/>
      <c r="H2101" s="10"/>
      <c r="I2101" s="10"/>
      <c r="J2101" s="10"/>
      <c r="K2101" s="10"/>
      <c r="L2101" s="10"/>
      <c r="M2101" s="10"/>
      <c r="N2101" s="10"/>
      <c r="O2101" s="3"/>
      <c r="P2101" s="10"/>
    </row>
    <row r="2102" spans="1:16" x14ac:dyDescent="0.15">
      <c r="A2102" s="10"/>
      <c r="B2102" s="3"/>
      <c r="C2102" s="10"/>
      <c r="D2102" s="10"/>
      <c r="E2102" s="10"/>
      <c r="F2102" s="10"/>
      <c r="G2102" s="10"/>
      <c r="H2102" s="10"/>
      <c r="I2102" s="10"/>
      <c r="J2102" s="10"/>
      <c r="K2102" s="10"/>
      <c r="L2102" s="10"/>
      <c r="M2102" s="10"/>
      <c r="N2102" s="10"/>
      <c r="O2102" s="3"/>
      <c r="P2102" s="10"/>
    </row>
    <row r="2103" spans="1:16" x14ac:dyDescent="0.15">
      <c r="A2103" s="10"/>
      <c r="B2103" s="3"/>
      <c r="C2103" s="10"/>
      <c r="D2103" s="10"/>
      <c r="E2103" s="10"/>
      <c r="F2103" s="10"/>
      <c r="G2103" s="10"/>
      <c r="H2103" s="10"/>
      <c r="I2103" s="10"/>
      <c r="J2103" s="10"/>
      <c r="K2103" s="10"/>
      <c r="L2103" s="10"/>
      <c r="M2103" s="10"/>
      <c r="N2103" s="10"/>
      <c r="O2103" s="3"/>
      <c r="P2103" s="10"/>
    </row>
    <row r="2104" spans="1:16" x14ac:dyDescent="0.15">
      <c r="A2104" s="10"/>
      <c r="B2104" s="3"/>
      <c r="C2104" s="10"/>
      <c r="D2104" s="10"/>
      <c r="E2104" s="10"/>
      <c r="F2104" s="10"/>
      <c r="G2104" s="10"/>
      <c r="H2104" s="10"/>
      <c r="I2104" s="10"/>
      <c r="J2104" s="10"/>
      <c r="K2104" s="10"/>
      <c r="L2104" s="10"/>
      <c r="M2104" s="10"/>
      <c r="N2104" s="10"/>
      <c r="O2104" s="3"/>
      <c r="P2104" s="10"/>
    </row>
    <row r="2105" spans="1:16" x14ac:dyDescent="0.15">
      <c r="A2105" s="10"/>
      <c r="B2105" s="3"/>
      <c r="C2105" s="10"/>
      <c r="D2105" s="10"/>
      <c r="E2105" s="10"/>
      <c r="F2105" s="10"/>
      <c r="G2105" s="10"/>
      <c r="H2105" s="10"/>
      <c r="I2105" s="10"/>
      <c r="J2105" s="10"/>
      <c r="K2105" s="10"/>
      <c r="L2105" s="10"/>
      <c r="M2105" s="10"/>
      <c r="N2105" s="10"/>
      <c r="O2105" s="3"/>
      <c r="P2105" s="10"/>
    </row>
    <row r="2106" spans="1:16" x14ac:dyDescent="0.15">
      <c r="A2106" s="10"/>
      <c r="B2106" s="3"/>
      <c r="C2106" s="10"/>
      <c r="D2106" s="10"/>
      <c r="E2106" s="10"/>
      <c r="F2106" s="10"/>
      <c r="G2106" s="10"/>
      <c r="H2106" s="10"/>
      <c r="I2106" s="10"/>
      <c r="J2106" s="10"/>
      <c r="K2106" s="10"/>
      <c r="L2106" s="10"/>
      <c r="M2106" s="10"/>
      <c r="N2106" s="10"/>
      <c r="O2106" s="3"/>
      <c r="P2106" s="10"/>
    </row>
    <row r="2107" spans="1:16" x14ac:dyDescent="0.15">
      <c r="A2107" s="10"/>
      <c r="B2107" s="3"/>
      <c r="C2107" s="10"/>
      <c r="D2107" s="10"/>
      <c r="E2107" s="10"/>
      <c r="F2107" s="10"/>
      <c r="G2107" s="10"/>
      <c r="H2107" s="10"/>
      <c r="I2107" s="10"/>
      <c r="J2107" s="10"/>
      <c r="K2107" s="10"/>
      <c r="L2107" s="10"/>
      <c r="M2107" s="10"/>
      <c r="N2107" s="10"/>
      <c r="O2107" s="3"/>
      <c r="P2107" s="10"/>
    </row>
    <row r="2108" spans="1:16" x14ac:dyDescent="0.15">
      <c r="A2108" s="10"/>
      <c r="B2108" s="3"/>
      <c r="C2108" s="10"/>
      <c r="D2108" s="10"/>
      <c r="E2108" s="10"/>
      <c r="F2108" s="10"/>
      <c r="G2108" s="10"/>
      <c r="H2108" s="10"/>
      <c r="I2108" s="10"/>
      <c r="J2108" s="10"/>
      <c r="K2108" s="10"/>
      <c r="L2108" s="10"/>
      <c r="M2108" s="10"/>
      <c r="N2108" s="10"/>
      <c r="O2108" s="3"/>
      <c r="P2108" s="10"/>
    </row>
    <row r="2109" spans="1:16" x14ac:dyDescent="0.15">
      <c r="A2109" s="10"/>
      <c r="B2109" s="3"/>
      <c r="C2109" s="10"/>
      <c r="D2109" s="10"/>
      <c r="E2109" s="10"/>
      <c r="F2109" s="10"/>
      <c r="G2109" s="10"/>
      <c r="H2109" s="10"/>
      <c r="I2109" s="10"/>
      <c r="J2109" s="10"/>
      <c r="K2109" s="10"/>
      <c r="L2109" s="10"/>
      <c r="M2109" s="10"/>
      <c r="N2109" s="10"/>
      <c r="O2109" s="3"/>
      <c r="P2109" s="10"/>
    </row>
    <row r="2110" spans="1:16" x14ac:dyDescent="0.15">
      <c r="A2110" s="10"/>
      <c r="B2110" s="3"/>
      <c r="C2110" s="10"/>
      <c r="D2110" s="10"/>
      <c r="E2110" s="10"/>
      <c r="F2110" s="10"/>
      <c r="G2110" s="10"/>
      <c r="H2110" s="10"/>
      <c r="I2110" s="10"/>
      <c r="J2110" s="10"/>
      <c r="K2110" s="10"/>
      <c r="L2110" s="10"/>
      <c r="M2110" s="10"/>
      <c r="N2110" s="10"/>
      <c r="O2110" s="3"/>
      <c r="P2110" s="10"/>
    </row>
    <row r="2111" spans="1:16" x14ac:dyDescent="0.15">
      <c r="A2111" s="10"/>
      <c r="B2111" s="3"/>
      <c r="C2111" s="10"/>
      <c r="D2111" s="10"/>
      <c r="E2111" s="10"/>
      <c r="F2111" s="10"/>
      <c r="G2111" s="10"/>
      <c r="H2111" s="10"/>
      <c r="I2111" s="10"/>
      <c r="J2111" s="10"/>
      <c r="K2111" s="10"/>
      <c r="L2111" s="10"/>
      <c r="M2111" s="10"/>
      <c r="N2111" s="10"/>
      <c r="O2111" s="3"/>
      <c r="P2111" s="10"/>
    </row>
    <row r="2112" spans="1:16" x14ac:dyDescent="0.15">
      <c r="A2112" s="10"/>
      <c r="B2112" s="3"/>
      <c r="C2112" s="10"/>
      <c r="D2112" s="10"/>
      <c r="E2112" s="10"/>
      <c r="F2112" s="10"/>
      <c r="G2112" s="10"/>
      <c r="H2112" s="10"/>
      <c r="I2112" s="10"/>
      <c r="J2112" s="10"/>
      <c r="K2112" s="10"/>
      <c r="L2112" s="10"/>
      <c r="M2112" s="10"/>
      <c r="N2112" s="10"/>
      <c r="O2112" s="3"/>
      <c r="P2112" s="10"/>
    </row>
    <row r="2113" spans="1:16" x14ac:dyDescent="0.15">
      <c r="A2113" s="10"/>
      <c r="B2113" s="3"/>
      <c r="C2113" s="10"/>
      <c r="D2113" s="10"/>
      <c r="E2113" s="10"/>
      <c r="F2113" s="10"/>
      <c r="G2113" s="10"/>
      <c r="H2113" s="10"/>
      <c r="I2113" s="10"/>
      <c r="J2113" s="10"/>
      <c r="K2113" s="10"/>
      <c r="L2113" s="10"/>
      <c r="M2113" s="10"/>
      <c r="N2113" s="10"/>
      <c r="O2113" s="3"/>
      <c r="P2113" s="10"/>
    </row>
    <row r="2114" spans="1:16" x14ac:dyDescent="0.15">
      <c r="A2114" s="10"/>
      <c r="B2114" s="3"/>
      <c r="C2114" s="10"/>
      <c r="D2114" s="10"/>
      <c r="E2114" s="10"/>
      <c r="F2114" s="10"/>
      <c r="G2114" s="10"/>
      <c r="H2114" s="10"/>
      <c r="I2114" s="10"/>
      <c r="J2114" s="10"/>
      <c r="K2114" s="10"/>
      <c r="L2114" s="10"/>
      <c r="M2114" s="10"/>
      <c r="N2114" s="10"/>
      <c r="O2114" s="3"/>
      <c r="P2114" s="10"/>
    </row>
    <row r="2115" spans="1:16" x14ac:dyDescent="0.15">
      <c r="A2115" s="10"/>
      <c r="B2115" s="3"/>
      <c r="C2115" s="10"/>
      <c r="D2115" s="10"/>
      <c r="E2115" s="10"/>
      <c r="F2115" s="10"/>
      <c r="G2115" s="10"/>
      <c r="H2115" s="10"/>
      <c r="I2115" s="10"/>
      <c r="J2115" s="10"/>
      <c r="K2115" s="10"/>
      <c r="L2115" s="10"/>
      <c r="M2115" s="10"/>
      <c r="N2115" s="10"/>
      <c r="O2115" s="3"/>
      <c r="P2115" s="10"/>
    </row>
    <row r="2116" spans="1:16" x14ac:dyDescent="0.15">
      <c r="A2116" s="10"/>
      <c r="B2116" s="3"/>
      <c r="C2116" s="10"/>
      <c r="D2116" s="10"/>
      <c r="E2116" s="10"/>
      <c r="F2116" s="10"/>
      <c r="G2116" s="10"/>
      <c r="H2116" s="10"/>
      <c r="I2116" s="10"/>
      <c r="J2116" s="10"/>
      <c r="K2116" s="10"/>
      <c r="L2116" s="10"/>
      <c r="M2116" s="10"/>
      <c r="N2116" s="10"/>
      <c r="O2116" s="3"/>
      <c r="P2116" s="10"/>
    </row>
    <row r="2117" spans="1:16" x14ac:dyDescent="0.15">
      <c r="A2117" s="10"/>
      <c r="B2117" s="3"/>
      <c r="C2117" s="10"/>
      <c r="D2117" s="10"/>
      <c r="E2117" s="10"/>
      <c r="F2117" s="10"/>
      <c r="G2117" s="10"/>
      <c r="H2117" s="10"/>
      <c r="I2117" s="10"/>
      <c r="J2117" s="10"/>
      <c r="K2117" s="10"/>
      <c r="L2117" s="10"/>
      <c r="M2117" s="10"/>
      <c r="N2117" s="10"/>
      <c r="O2117" s="3"/>
      <c r="P2117" s="10"/>
    </row>
    <row r="2118" spans="1:16" x14ac:dyDescent="0.15">
      <c r="A2118" s="10"/>
      <c r="B2118" s="3"/>
      <c r="C2118" s="10"/>
      <c r="D2118" s="10"/>
      <c r="E2118" s="10"/>
      <c r="F2118" s="10"/>
      <c r="G2118" s="10"/>
      <c r="H2118" s="10"/>
      <c r="I2118" s="10"/>
      <c r="J2118" s="10"/>
      <c r="K2118" s="10"/>
      <c r="L2118" s="10"/>
      <c r="M2118" s="10"/>
      <c r="N2118" s="10"/>
      <c r="O2118" s="3"/>
      <c r="P2118" s="10"/>
    </row>
    <row r="2119" spans="1:16" x14ac:dyDescent="0.15">
      <c r="A2119" s="10"/>
      <c r="B2119" s="3"/>
      <c r="C2119" s="10"/>
      <c r="D2119" s="10"/>
      <c r="E2119" s="10"/>
      <c r="F2119" s="10"/>
      <c r="G2119" s="10"/>
      <c r="H2119" s="10"/>
      <c r="I2119" s="10"/>
      <c r="J2119" s="10"/>
      <c r="K2119" s="10"/>
      <c r="L2119" s="10"/>
      <c r="M2119" s="10"/>
      <c r="N2119" s="10"/>
      <c r="O2119" s="3"/>
      <c r="P2119" s="10"/>
    </row>
    <row r="2120" spans="1:16" x14ac:dyDescent="0.15">
      <c r="A2120" s="10"/>
      <c r="B2120" s="3"/>
      <c r="C2120" s="10"/>
      <c r="D2120" s="10"/>
      <c r="E2120" s="10"/>
      <c r="F2120" s="10"/>
      <c r="G2120" s="10"/>
      <c r="H2120" s="10"/>
      <c r="I2120" s="10"/>
      <c r="J2120" s="10"/>
      <c r="K2120" s="10"/>
      <c r="L2120" s="10"/>
      <c r="M2120" s="10"/>
      <c r="N2120" s="10"/>
      <c r="O2120" s="3"/>
      <c r="P2120" s="10"/>
    </row>
    <row r="2121" spans="1:16" x14ac:dyDescent="0.15">
      <c r="A2121" s="10"/>
      <c r="B2121" s="3"/>
      <c r="C2121" s="10"/>
      <c r="D2121" s="10"/>
      <c r="E2121" s="10"/>
      <c r="F2121" s="10"/>
      <c r="G2121" s="10"/>
      <c r="H2121" s="10"/>
      <c r="I2121" s="10"/>
      <c r="J2121" s="10"/>
      <c r="K2121" s="10"/>
      <c r="L2121" s="10"/>
      <c r="M2121" s="10"/>
      <c r="N2121" s="10"/>
      <c r="O2121" s="3"/>
      <c r="P2121" s="10"/>
    </row>
    <row r="2122" spans="1:16" x14ac:dyDescent="0.15">
      <c r="A2122" s="10"/>
      <c r="B2122" s="3"/>
      <c r="C2122" s="10"/>
      <c r="D2122" s="10"/>
      <c r="E2122" s="10"/>
      <c r="F2122" s="10"/>
      <c r="G2122" s="10"/>
      <c r="H2122" s="10"/>
      <c r="I2122" s="10"/>
      <c r="J2122" s="10"/>
      <c r="K2122" s="10"/>
      <c r="L2122" s="10"/>
      <c r="M2122" s="10"/>
      <c r="N2122" s="10"/>
      <c r="O2122" s="3"/>
      <c r="P2122" s="10"/>
    </row>
    <row r="2123" spans="1:16" x14ac:dyDescent="0.15">
      <c r="A2123" s="10"/>
      <c r="B2123" s="3"/>
      <c r="C2123" s="10"/>
      <c r="D2123" s="10"/>
      <c r="E2123" s="10"/>
      <c r="F2123" s="10"/>
      <c r="G2123" s="10"/>
      <c r="H2123" s="10"/>
      <c r="I2123" s="10"/>
      <c r="J2123" s="10"/>
      <c r="K2123" s="10"/>
      <c r="L2123" s="10"/>
      <c r="M2123" s="10"/>
      <c r="N2123" s="10"/>
      <c r="O2123" s="3"/>
      <c r="P2123" s="10"/>
    </row>
    <row r="2124" spans="1:16" x14ac:dyDescent="0.15">
      <c r="A2124" s="10"/>
      <c r="B2124" s="3"/>
      <c r="C2124" s="10"/>
      <c r="D2124" s="10"/>
      <c r="E2124" s="10"/>
      <c r="F2124" s="10"/>
      <c r="G2124" s="10"/>
      <c r="H2124" s="10"/>
      <c r="I2124" s="10"/>
      <c r="J2124" s="10"/>
      <c r="K2124" s="10"/>
      <c r="L2124" s="10"/>
      <c r="M2124" s="10"/>
      <c r="N2124" s="10"/>
      <c r="O2124" s="3"/>
      <c r="P2124" s="10"/>
    </row>
    <row r="2125" spans="1:16" x14ac:dyDescent="0.15">
      <c r="A2125" s="10"/>
      <c r="B2125" s="3"/>
      <c r="C2125" s="10"/>
      <c r="D2125" s="10"/>
      <c r="E2125" s="10"/>
      <c r="F2125" s="10"/>
      <c r="G2125" s="10"/>
      <c r="H2125" s="10"/>
      <c r="I2125" s="10"/>
      <c r="J2125" s="10"/>
      <c r="K2125" s="10"/>
      <c r="L2125" s="10"/>
      <c r="M2125" s="10"/>
      <c r="N2125" s="10"/>
      <c r="O2125" s="3"/>
      <c r="P2125" s="10"/>
    </row>
    <row r="2126" spans="1:16" x14ac:dyDescent="0.15">
      <c r="A2126" s="10"/>
      <c r="B2126" s="3"/>
      <c r="C2126" s="10"/>
      <c r="D2126" s="10"/>
      <c r="E2126" s="10"/>
      <c r="F2126" s="10"/>
      <c r="G2126" s="10"/>
      <c r="H2126" s="10"/>
      <c r="I2126" s="10"/>
      <c r="J2126" s="10"/>
      <c r="K2126" s="10"/>
      <c r="L2126" s="10"/>
      <c r="M2126" s="10"/>
      <c r="N2126" s="10"/>
      <c r="O2126" s="3"/>
      <c r="P2126" s="10"/>
    </row>
    <row r="2127" spans="1:16" x14ac:dyDescent="0.15">
      <c r="A2127" s="10"/>
      <c r="B2127" s="3"/>
      <c r="C2127" s="10"/>
      <c r="D2127" s="10"/>
      <c r="E2127" s="10"/>
      <c r="F2127" s="10"/>
      <c r="G2127" s="10"/>
      <c r="H2127" s="10"/>
      <c r="I2127" s="10"/>
      <c r="J2127" s="10"/>
      <c r="K2127" s="10"/>
      <c r="L2127" s="10"/>
      <c r="M2127" s="10"/>
      <c r="N2127" s="10"/>
      <c r="O2127" s="3"/>
      <c r="P2127" s="10"/>
    </row>
    <row r="2128" spans="1:16" x14ac:dyDescent="0.15">
      <c r="A2128" s="10"/>
      <c r="B2128" s="3"/>
      <c r="C2128" s="10"/>
      <c r="D2128" s="10"/>
      <c r="E2128" s="10"/>
      <c r="F2128" s="10"/>
      <c r="G2128" s="10"/>
      <c r="H2128" s="10"/>
      <c r="I2128" s="10"/>
      <c r="J2128" s="10"/>
      <c r="K2128" s="10"/>
      <c r="L2128" s="10"/>
      <c r="M2128" s="10"/>
      <c r="N2128" s="10"/>
      <c r="O2128" s="3"/>
      <c r="P2128" s="10"/>
    </row>
    <row r="2129" spans="1:16" x14ac:dyDescent="0.15">
      <c r="A2129" s="10"/>
      <c r="B2129" s="3"/>
      <c r="C2129" s="10"/>
      <c r="D2129" s="10"/>
      <c r="E2129" s="10"/>
      <c r="F2129" s="10"/>
      <c r="G2129" s="10"/>
      <c r="H2129" s="10"/>
      <c r="I2129" s="10"/>
      <c r="J2129" s="10"/>
      <c r="K2129" s="10"/>
      <c r="L2129" s="10"/>
      <c r="M2129" s="10"/>
      <c r="N2129" s="10"/>
      <c r="O2129" s="3"/>
      <c r="P2129" s="10"/>
    </row>
    <row r="2130" spans="1:16" x14ac:dyDescent="0.15">
      <c r="A2130" s="10"/>
      <c r="B2130" s="3"/>
      <c r="C2130" s="10"/>
      <c r="D2130" s="10"/>
      <c r="E2130" s="10"/>
      <c r="F2130" s="10"/>
      <c r="G2130" s="10"/>
      <c r="H2130" s="10"/>
      <c r="I2130" s="10"/>
      <c r="J2130" s="10"/>
      <c r="K2130" s="10"/>
      <c r="L2130" s="10"/>
      <c r="M2130" s="10"/>
      <c r="N2130" s="10"/>
      <c r="O2130" s="3"/>
      <c r="P2130" s="10"/>
    </row>
    <row r="2131" spans="1:16" x14ac:dyDescent="0.15">
      <c r="A2131" s="10"/>
      <c r="B2131" s="3"/>
      <c r="C2131" s="10"/>
      <c r="D2131" s="10"/>
      <c r="E2131" s="10"/>
      <c r="F2131" s="10"/>
      <c r="G2131" s="10"/>
      <c r="H2131" s="10"/>
      <c r="I2131" s="10"/>
      <c r="J2131" s="10"/>
      <c r="K2131" s="10"/>
      <c r="L2131" s="10"/>
      <c r="M2131" s="10"/>
      <c r="N2131" s="10"/>
      <c r="O2131" s="3"/>
      <c r="P2131" s="10"/>
    </row>
    <row r="2132" spans="1:16" x14ac:dyDescent="0.15">
      <c r="A2132" s="10"/>
      <c r="B2132" s="3"/>
      <c r="C2132" s="10"/>
      <c r="D2132" s="10"/>
      <c r="E2132" s="10"/>
      <c r="F2132" s="10"/>
      <c r="G2132" s="10"/>
      <c r="H2132" s="10"/>
      <c r="I2132" s="10"/>
      <c r="J2132" s="10"/>
      <c r="K2132" s="10"/>
      <c r="L2132" s="10"/>
      <c r="M2132" s="10"/>
      <c r="N2132" s="10"/>
      <c r="O2132" s="3"/>
      <c r="P2132" s="10"/>
    </row>
    <row r="2133" spans="1:16" x14ac:dyDescent="0.15">
      <c r="A2133" s="10"/>
      <c r="B2133" s="3"/>
      <c r="C2133" s="10"/>
      <c r="D2133" s="10"/>
      <c r="E2133" s="10"/>
      <c r="F2133" s="10"/>
      <c r="G2133" s="10"/>
      <c r="H2133" s="10"/>
      <c r="I2133" s="10"/>
      <c r="J2133" s="10"/>
      <c r="K2133" s="10"/>
      <c r="L2133" s="10"/>
      <c r="M2133" s="10"/>
      <c r="N2133" s="10"/>
      <c r="O2133" s="3"/>
      <c r="P2133" s="10"/>
    </row>
    <row r="2134" spans="1:16" x14ac:dyDescent="0.15">
      <c r="A2134" s="10"/>
      <c r="B2134" s="3"/>
      <c r="C2134" s="10"/>
      <c r="D2134" s="10"/>
      <c r="E2134" s="10"/>
      <c r="F2134" s="10"/>
      <c r="G2134" s="10"/>
      <c r="H2134" s="10"/>
      <c r="I2134" s="10"/>
      <c r="J2134" s="10"/>
      <c r="K2134" s="10"/>
      <c r="L2134" s="10"/>
      <c r="M2134" s="10"/>
      <c r="N2134" s="10"/>
      <c r="O2134" s="3"/>
      <c r="P2134" s="10"/>
    </row>
    <row r="2135" spans="1:16" x14ac:dyDescent="0.15">
      <c r="A2135" s="10"/>
      <c r="B2135" s="3"/>
      <c r="C2135" s="10"/>
      <c r="D2135" s="10"/>
      <c r="E2135" s="10"/>
      <c r="F2135" s="10"/>
      <c r="G2135" s="10"/>
      <c r="H2135" s="10"/>
      <c r="I2135" s="10"/>
      <c r="J2135" s="10"/>
      <c r="K2135" s="10"/>
      <c r="L2135" s="10"/>
      <c r="M2135" s="10"/>
      <c r="N2135" s="10"/>
      <c r="O2135" s="3"/>
      <c r="P2135" s="10"/>
    </row>
    <row r="2136" spans="1:16" x14ac:dyDescent="0.15">
      <c r="A2136" s="10"/>
      <c r="B2136" s="3"/>
      <c r="C2136" s="10"/>
      <c r="D2136" s="10"/>
      <c r="E2136" s="10"/>
      <c r="F2136" s="10"/>
      <c r="G2136" s="10"/>
      <c r="H2136" s="10"/>
      <c r="I2136" s="10"/>
      <c r="J2136" s="10"/>
      <c r="K2136" s="10"/>
      <c r="L2136" s="10"/>
      <c r="M2136" s="10"/>
      <c r="N2136" s="10"/>
      <c r="O2136" s="3"/>
      <c r="P2136" s="10"/>
    </row>
    <row r="2137" spans="1:16" x14ac:dyDescent="0.15">
      <c r="A2137" s="10"/>
      <c r="B2137" s="3"/>
      <c r="C2137" s="10"/>
      <c r="D2137" s="10"/>
      <c r="E2137" s="10"/>
      <c r="F2137" s="10"/>
      <c r="G2137" s="10"/>
      <c r="H2137" s="10"/>
      <c r="I2137" s="10"/>
      <c r="J2137" s="10"/>
      <c r="K2137" s="10"/>
      <c r="L2137" s="10"/>
      <c r="M2137" s="10"/>
      <c r="N2137" s="10"/>
      <c r="O2137" s="3"/>
      <c r="P2137" s="10"/>
    </row>
    <row r="2138" spans="1:16" x14ac:dyDescent="0.15">
      <c r="A2138" s="10"/>
      <c r="B2138" s="3"/>
      <c r="C2138" s="10"/>
      <c r="D2138" s="10"/>
      <c r="E2138" s="10"/>
      <c r="F2138" s="10"/>
      <c r="G2138" s="10"/>
      <c r="H2138" s="10"/>
      <c r="I2138" s="10"/>
      <c r="J2138" s="10"/>
      <c r="K2138" s="10"/>
      <c r="L2138" s="10"/>
      <c r="M2138" s="10"/>
      <c r="N2138" s="10"/>
      <c r="O2138" s="3"/>
      <c r="P2138" s="10"/>
    </row>
    <row r="2139" spans="1:16" x14ac:dyDescent="0.15">
      <c r="A2139" s="10"/>
      <c r="B2139" s="3"/>
      <c r="C2139" s="10"/>
      <c r="D2139" s="10"/>
      <c r="E2139" s="10"/>
      <c r="F2139" s="10"/>
      <c r="G2139" s="10"/>
      <c r="H2139" s="10"/>
      <c r="I2139" s="10"/>
      <c r="J2139" s="10"/>
      <c r="K2139" s="10"/>
      <c r="L2139" s="10"/>
      <c r="M2139" s="10"/>
      <c r="N2139" s="10"/>
      <c r="O2139" s="3"/>
      <c r="P2139" s="10"/>
    </row>
    <row r="2140" spans="1:16" x14ac:dyDescent="0.15">
      <c r="A2140" s="10"/>
      <c r="B2140" s="3"/>
      <c r="C2140" s="10"/>
      <c r="D2140" s="10"/>
      <c r="E2140" s="10"/>
      <c r="F2140" s="10"/>
      <c r="G2140" s="10"/>
      <c r="H2140" s="10"/>
      <c r="I2140" s="10"/>
      <c r="J2140" s="10"/>
      <c r="K2140" s="10"/>
      <c r="L2140" s="10"/>
      <c r="M2140" s="10"/>
      <c r="N2140" s="10"/>
      <c r="O2140" s="3"/>
      <c r="P2140" s="10"/>
    </row>
    <row r="2141" spans="1:16" x14ac:dyDescent="0.15">
      <c r="A2141" s="10"/>
      <c r="B2141" s="3"/>
      <c r="C2141" s="10"/>
      <c r="D2141" s="10"/>
      <c r="E2141" s="10"/>
      <c r="F2141" s="10"/>
      <c r="G2141" s="10"/>
      <c r="H2141" s="10"/>
      <c r="I2141" s="10"/>
      <c r="J2141" s="10"/>
      <c r="K2141" s="10"/>
      <c r="L2141" s="10"/>
      <c r="M2141" s="10"/>
      <c r="N2141" s="10"/>
      <c r="O2141" s="3"/>
      <c r="P2141" s="10"/>
    </row>
    <row r="2142" spans="1:16" x14ac:dyDescent="0.15">
      <c r="A2142" s="10"/>
      <c r="B2142" s="3"/>
      <c r="C2142" s="10"/>
      <c r="D2142" s="10"/>
      <c r="E2142" s="10"/>
      <c r="F2142" s="10"/>
      <c r="G2142" s="10"/>
      <c r="H2142" s="10"/>
      <c r="I2142" s="10"/>
      <c r="J2142" s="10"/>
      <c r="K2142" s="10"/>
      <c r="L2142" s="10"/>
      <c r="M2142" s="10"/>
      <c r="N2142" s="10"/>
      <c r="O2142" s="3"/>
      <c r="P2142" s="10"/>
    </row>
    <row r="2143" spans="1:16" x14ac:dyDescent="0.15">
      <c r="A2143" s="10"/>
      <c r="B2143" s="3"/>
      <c r="C2143" s="10"/>
      <c r="D2143" s="10"/>
      <c r="E2143" s="10"/>
      <c r="F2143" s="10"/>
      <c r="G2143" s="10"/>
      <c r="H2143" s="10"/>
      <c r="I2143" s="10"/>
      <c r="J2143" s="10"/>
      <c r="K2143" s="10"/>
      <c r="L2143" s="10"/>
      <c r="M2143" s="10"/>
      <c r="N2143" s="10"/>
      <c r="O2143" s="3"/>
      <c r="P2143" s="10"/>
    </row>
    <row r="2144" spans="1:16" x14ac:dyDescent="0.15">
      <c r="A2144" s="10"/>
      <c r="B2144" s="3"/>
      <c r="C2144" s="10"/>
      <c r="D2144" s="10"/>
      <c r="E2144" s="10"/>
      <c r="F2144" s="10"/>
      <c r="G2144" s="10"/>
      <c r="H2144" s="10"/>
      <c r="I2144" s="10"/>
      <c r="J2144" s="10"/>
      <c r="K2144" s="10"/>
      <c r="L2144" s="10"/>
      <c r="M2144" s="10"/>
      <c r="N2144" s="10"/>
      <c r="O2144" s="3"/>
      <c r="P2144" s="10"/>
    </row>
    <row r="2145" spans="1:16" x14ac:dyDescent="0.15">
      <c r="A2145" s="10"/>
      <c r="B2145" s="3"/>
      <c r="C2145" s="10"/>
      <c r="D2145" s="10"/>
      <c r="E2145" s="10"/>
      <c r="F2145" s="10"/>
      <c r="G2145" s="10"/>
      <c r="H2145" s="10"/>
      <c r="I2145" s="10"/>
      <c r="J2145" s="10"/>
      <c r="K2145" s="10"/>
      <c r="L2145" s="10"/>
      <c r="M2145" s="10"/>
      <c r="N2145" s="10"/>
      <c r="O2145" s="3"/>
      <c r="P2145" s="10"/>
    </row>
    <row r="2146" spans="1:16" x14ac:dyDescent="0.15">
      <c r="A2146" s="10"/>
      <c r="B2146" s="3"/>
      <c r="C2146" s="10"/>
      <c r="D2146" s="10"/>
      <c r="E2146" s="10"/>
      <c r="F2146" s="10"/>
      <c r="G2146" s="10"/>
      <c r="H2146" s="10"/>
      <c r="I2146" s="10"/>
      <c r="J2146" s="10"/>
      <c r="K2146" s="10"/>
      <c r="L2146" s="10"/>
      <c r="M2146" s="10"/>
      <c r="N2146" s="10"/>
      <c r="O2146" s="3"/>
      <c r="P2146" s="10"/>
    </row>
    <row r="2147" spans="1:16" x14ac:dyDescent="0.15">
      <c r="A2147" s="10"/>
      <c r="B2147" s="3"/>
      <c r="C2147" s="10"/>
      <c r="D2147" s="10"/>
      <c r="E2147" s="10"/>
      <c r="F2147" s="10"/>
      <c r="G2147" s="10"/>
      <c r="H2147" s="10"/>
      <c r="I2147" s="10"/>
      <c r="J2147" s="10"/>
      <c r="K2147" s="10"/>
      <c r="L2147" s="10"/>
      <c r="M2147" s="10"/>
      <c r="N2147" s="10"/>
      <c r="O2147" s="3"/>
      <c r="P2147" s="10"/>
    </row>
    <row r="2148" spans="1:16" x14ac:dyDescent="0.15">
      <c r="A2148" s="10"/>
      <c r="B2148" s="3"/>
      <c r="C2148" s="10"/>
      <c r="D2148" s="10"/>
      <c r="E2148" s="10"/>
      <c r="F2148" s="10"/>
      <c r="G2148" s="10"/>
      <c r="H2148" s="10"/>
      <c r="I2148" s="10"/>
      <c r="J2148" s="10"/>
      <c r="K2148" s="10"/>
      <c r="L2148" s="10"/>
      <c r="M2148" s="10"/>
      <c r="N2148" s="10"/>
      <c r="O2148" s="3"/>
      <c r="P2148" s="10"/>
    </row>
    <row r="2149" spans="1:16" x14ac:dyDescent="0.15">
      <c r="A2149" s="10"/>
      <c r="B2149" s="3"/>
      <c r="C2149" s="10"/>
      <c r="D2149" s="10"/>
      <c r="E2149" s="10"/>
      <c r="F2149" s="10"/>
      <c r="G2149" s="10"/>
      <c r="H2149" s="10"/>
      <c r="I2149" s="10"/>
      <c r="J2149" s="10"/>
      <c r="K2149" s="10"/>
      <c r="L2149" s="10"/>
      <c r="M2149" s="10"/>
      <c r="N2149" s="10"/>
      <c r="O2149" s="3"/>
      <c r="P2149" s="10"/>
    </row>
    <row r="2150" spans="1:16" x14ac:dyDescent="0.15">
      <c r="A2150" s="10"/>
      <c r="B2150" s="3"/>
      <c r="C2150" s="10"/>
      <c r="D2150" s="10"/>
      <c r="E2150" s="10"/>
      <c r="F2150" s="10"/>
      <c r="G2150" s="10"/>
      <c r="H2150" s="10"/>
      <c r="I2150" s="10"/>
      <c r="J2150" s="10"/>
      <c r="K2150" s="10"/>
      <c r="L2150" s="10"/>
      <c r="M2150" s="10"/>
      <c r="N2150" s="10"/>
      <c r="O2150" s="3"/>
      <c r="P2150" s="10"/>
    </row>
    <row r="2151" spans="1:16" x14ac:dyDescent="0.15">
      <c r="A2151" s="10"/>
      <c r="B2151" s="3"/>
      <c r="C2151" s="10"/>
      <c r="D2151" s="10"/>
      <c r="E2151" s="10"/>
      <c r="F2151" s="10"/>
      <c r="G2151" s="10"/>
      <c r="H2151" s="10"/>
      <c r="I2151" s="10"/>
      <c r="J2151" s="10"/>
      <c r="K2151" s="10"/>
      <c r="L2151" s="10"/>
      <c r="M2151" s="10"/>
      <c r="N2151" s="10"/>
      <c r="O2151" s="3"/>
      <c r="P2151" s="10"/>
    </row>
    <row r="2152" spans="1:16" x14ac:dyDescent="0.15">
      <c r="A2152" s="10"/>
      <c r="B2152" s="3"/>
      <c r="C2152" s="10"/>
      <c r="D2152" s="10"/>
      <c r="E2152" s="10"/>
      <c r="F2152" s="10"/>
      <c r="G2152" s="10"/>
      <c r="H2152" s="10"/>
      <c r="I2152" s="10"/>
      <c r="J2152" s="10"/>
      <c r="K2152" s="10"/>
      <c r="L2152" s="10"/>
      <c r="M2152" s="10"/>
      <c r="N2152" s="10"/>
      <c r="O2152" s="3"/>
      <c r="P2152" s="10"/>
    </row>
    <row r="2153" spans="1:16" x14ac:dyDescent="0.15">
      <c r="A2153" s="10"/>
      <c r="B2153" s="3"/>
      <c r="C2153" s="10"/>
      <c r="D2153" s="10"/>
      <c r="E2153" s="10"/>
      <c r="F2153" s="10"/>
      <c r="G2153" s="10"/>
      <c r="H2153" s="10"/>
      <c r="I2153" s="10"/>
      <c r="J2153" s="10"/>
      <c r="K2153" s="10"/>
      <c r="L2153" s="10"/>
      <c r="M2153" s="10"/>
      <c r="N2153" s="10"/>
      <c r="O2153" s="3"/>
      <c r="P2153" s="10"/>
    </row>
    <row r="2154" spans="1:16" x14ac:dyDescent="0.15">
      <c r="A2154" s="10"/>
      <c r="B2154" s="3"/>
      <c r="C2154" s="10"/>
      <c r="D2154" s="10"/>
      <c r="E2154" s="10"/>
      <c r="F2154" s="10"/>
      <c r="G2154" s="10"/>
      <c r="H2154" s="10"/>
      <c r="I2154" s="10"/>
      <c r="J2154" s="10"/>
      <c r="K2154" s="10"/>
      <c r="L2154" s="10"/>
      <c r="M2154" s="10"/>
      <c r="N2154" s="10"/>
      <c r="O2154" s="3"/>
      <c r="P2154" s="10"/>
    </row>
    <row r="2155" spans="1:16" x14ac:dyDescent="0.15">
      <c r="A2155" s="10"/>
      <c r="B2155" s="3"/>
      <c r="C2155" s="10"/>
      <c r="D2155" s="10"/>
      <c r="E2155" s="10"/>
      <c r="F2155" s="10"/>
      <c r="G2155" s="10"/>
      <c r="H2155" s="10"/>
      <c r="I2155" s="10"/>
      <c r="J2155" s="10"/>
      <c r="K2155" s="10"/>
      <c r="L2155" s="10"/>
      <c r="M2155" s="10"/>
      <c r="N2155" s="10"/>
      <c r="O2155" s="3"/>
      <c r="P2155" s="10"/>
    </row>
    <row r="2156" spans="1:16" x14ac:dyDescent="0.15">
      <c r="A2156" s="10"/>
      <c r="B2156" s="3"/>
      <c r="C2156" s="10"/>
      <c r="D2156" s="10"/>
      <c r="E2156" s="10"/>
      <c r="F2156" s="10"/>
      <c r="G2156" s="10"/>
      <c r="H2156" s="10"/>
      <c r="I2156" s="10"/>
      <c r="J2156" s="10"/>
      <c r="K2156" s="10"/>
      <c r="L2156" s="10"/>
      <c r="M2156" s="10"/>
      <c r="N2156" s="10"/>
      <c r="O2156" s="3"/>
      <c r="P2156" s="10"/>
    </row>
    <row r="2157" spans="1:16" x14ac:dyDescent="0.15">
      <c r="A2157" s="10"/>
      <c r="B2157" s="3"/>
      <c r="C2157" s="10"/>
      <c r="D2157" s="10"/>
      <c r="E2157" s="10"/>
      <c r="F2157" s="10"/>
      <c r="G2157" s="10"/>
      <c r="H2157" s="10"/>
      <c r="I2157" s="10"/>
      <c r="J2157" s="10"/>
      <c r="K2157" s="10"/>
      <c r="L2157" s="10"/>
      <c r="M2157" s="10"/>
      <c r="N2157" s="10"/>
      <c r="O2157" s="3"/>
      <c r="P2157" s="10"/>
    </row>
    <row r="2158" spans="1:16" x14ac:dyDescent="0.15">
      <c r="A2158" s="10"/>
      <c r="B2158" s="3"/>
      <c r="C2158" s="10"/>
      <c r="D2158" s="10"/>
      <c r="E2158" s="10"/>
      <c r="F2158" s="10"/>
      <c r="G2158" s="10"/>
      <c r="H2158" s="10"/>
      <c r="I2158" s="10"/>
      <c r="J2158" s="10"/>
      <c r="K2158" s="10"/>
      <c r="L2158" s="10"/>
      <c r="M2158" s="10"/>
      <c r="N2158" s="10"/>
      <c r="O2158" s="3"/>
      <c r="P2158" s="10"/>
    </row>
    <row r="2159" spans="1:16" x14ac:dyDescent="0.15">
      <c r="A2159" s="10"/>
      <c r="B2159" s="3"/>
      <c r="C2159" s="10"/>
      <c r="D2159" s="10"/>
      <c r="E2159" s="10"/>
      <c r="F2159" s="10"/>
      <c r="G2159" s="10"/>
      <c r="H2159" s="10"/>
      <c r="I2159" s="10"/>
      <c r="J2159" s="10"/>
      <c r="K2159" s="10"/>
      <c r="L2159" s="10"/>
      <c r="M2159" s="10"/>
      <c r="N2159" s="10"/>
      <c r="O2159" s="3"/>
      <c r="P2159" s="10"/>
    </row>
    <row r="2160" spans="1:16" x14ac:dyDescent="0.15">
      <c r="A2160" s="10"/>
      <c r="B2160" s="3"/>
      <c r="C2160" s="10"/>
      <c r="D2160" s="10"/>
      <c r="E2160" s="10"/>
      <c r="F2160" s="10"/>
      <c r="G2160" s="10"/>
      <c r="H2160" s="10"/>
      <c r="I2160" s="10"/>
      <c r="J2160" s="10"/>
      <c r="K2160" s="10"/>
      <c r="L2160" s="10"/>
      <c r="M2160" s="10"/>
      <c r="N2160" s="10"/>
      <c r="O2160" s="3"/>
      <c r="P2160" s="10"/>
    </row>
    <row r="2161" spans="1:16" x14ac:dyDescent="0.15">
      <c r="A2161" s="10"/>
      <c r="B2161" s="3"/>
      <c r="C2161" s="10"/>
      <c r="D2161" s="10"/>
      <c r="E2161" s="10"/>
      <c r="F2161" s="10"/>
      <c r="G2161" s="10"/>
      <c r="H2161" s="10"/>
      <c r="I2161" s="10"/>
      <c r="J2161" s="10"/>
      <c r="K2161" s="10"/>
      <c r="L2161" s="10"/>
      <c r="M2161" s="10"/>
      <c r="N2161" s="10"/>
      <c r="O2161" s="3"/>
      <c r="P2161" s="10"/>
    </row>
    <row r="2162" spans="1:16" x14ac:dyDescent="0.15">
      <c r="A2162" s="10"/>
      <c r="B2162" s="3"/>
      <c r="C2162" s="10"/>
      <c r="D2162" s="10"/>
      <c r="E2162" s="10"/>
      <c r="F2162" s="10"/>
      <c r="G2162" s="10"/>
      <c r="H2162" s="10"/>
      <c r="I2162" s="10"/>
      <c r="J2162" s="10"/>
      <c r="K2162" s="10"/>
      <c r="L2162" s="10"/>
      <c r="M2162" s="10"/>
      <c r="N2162" s="10"/>
      <c r="O2162" s="3"/>
      <c r="P2162" s="10"/>
    </row>
    <row r="2163" spans="1:16" x14ac:dyDescent="0.15">
      <c r="A2163" s="10"/>
      <c r="B2163" s="3"/>
      <c r="C2163" s="10"/>
      <c r="D2163" s="10"/>
      <c r="E2163" s="10"/>
      <c r="F2163" s="10"/>
      <c r="G2163" s="10"/>
      <c r="H2163" s="10"/>
      <c r="I2163" s="10"/>
      <c r="J2163" s="10"/>
      <c r="K2163" s="10"/>
      <c r="L2163" s="10"/>
      <c r="M2163" s="10"/>
      <c r="N2163" s="10"/>
      <c r="O2163" s="3"/>
      <c r="P2163" s="10"/>
    </row>
    <row r="2164" spans="1:16" x14ac:dyDescent="0.15">
      <c r="A2164" s="10"/>
      <c r="B2164" s="3"/>
      <c r="C2164" s="10"/>
      <c r="D2164" s="10"/>
      <c r="E2164" s="10"/>
      <c r="F2164" s="10"/>
      <c r="G2164" s="10"/>
      <c r="H2164" s="10"/>
      <c r="I2164" s="10"/>
      <c r="J2164" s="10"/>
      <c r="K2164" s="10"/>
      <c r="L2164" s="10"/>
      <c r="M2164" s="10"/>
      <c r="N2164" s="10"/>
      <c r="O2164" s="3"/>
      <c r="P2164" s="10"/>
    </row>
    <row r="2165" spans="1:16" x14ac:dyDescent="0.15">
      <c r="A2165" s="10"/>
      <c r="B2165" s="3"/>
      <c r="C2165" s="10"/>
      <c r="D2165" s="10"/>
      <c r="E2165" s="10"/>
      <c r="F2165" s="10"/>
      <c r="G2165" s="10"/>
      <c r="H2165" s="10"/>
      <c r="I2165" s="10"/>
      <c r="J2165" s="10"/>
      <c r="K2165" s="10"/>
      <c r="L2165" s="10"/>
      <c r="M2165" s="10"/>
      <c r="N2165" s="10"/>
      <c r="O2165" s="3"/>
      <c r="P2165" s="10"/>
    </row>
    <row r="2166" spans="1:16" x14ac:dyDescent="0.15">
      <c r="A2166" s="10"/>
      <c r="B2166" s="3"/>
      <c r="C2166" s="10"/>
      <c r="D2166" s="10"/>
      <c r="E2166" s="10"/>
      <c r="F2166" s="10"/>
      <c r="G2166" s="10"/>
      <c r="H2166" s="10"/>
      <c r="I2166" s="10"/>
      <c r="J2166" s="10"/>
      <c r="K2166" s="10"/>
      <c r="L2166" s="10"/>
      <c r="M2166" s="10"/>
      <c r="N2166" s="10"/>
      <c r="O2166" s="3"/>
      <c r="P2166" s="10"/>
    </row>
    <row r="2167" spans="1:16" x14ac:dyDescent="0.15">
      <c r="A2167" s="10"/>
      <c r="B2167" s="3"/>
      <c r="C2167" s="10"/>
      <c r="D2167" s="10"/>
      <c r="E2167" s="10"/>
      <c r="F2167" s="10"/>
      <c r="G2167" s="10"/>
      <c r="H2167" s="10"/>
      <c r="I2167" s="10"/>
      <c r="J2167" s="10"/>
      <c r="K2167" s="10"/>
      <c r="L2167" s="10"/>
      <c r="M2167" s="10"/>
      <c r="N2167" s="10"/>
      <c r="O2167" s="3"/>
      <c r="P2167" s="10"/>
    </row>
    <row r="2168" spans="1:16" x14ac:dyDescent="0.15">
      <c r="A2168" s="10"/>
      <c r="B2168" s="3"/>
      <c r="C2168" s="10"/>
      <c r="D2168" s="10"/>
      <c r="E2168" s="10"/>
      <c r="F2168" s="10"/>
      <c r="G2168" s="10"/>
      <c r="H2168" s="10"/>
      <c r="I2168" s="10"/>
      <c r="J2168" s="10"/>
      <c r="K2168" s="10"/>
      <c r="L2168" s="10"/>
      <c r="M2168" s="10"/>
      <c r="N2168" s="10"/>
      <c r="O2168" s="3"/>
      <c r="P2168" s="10"/>
    </row>
    <row r="2169" spans="1:16" x14ac:dyDescent="0.15">
      <c r="A2169" s="10"/>
      <c r="B2169" s="3"/>
      <c r="C2169" s="10"/>
      <c r="D2169" s="10"/>
      <c r="E2169" s="10"/>
      <c r="F2169" s="10"/>
      <c r="G2169" s="10"/>
      <c r="H2169" s="10"/>
      <c r="I2169" s="10"/>
      <c r="J2169" s="10"/>
      <c r="K2169" s="10"/>
      <c r="L2169" s="10"/>
      <c r="M2169" s="10"/>
      <c r="N2169" s="10"/>
      <c r="O2169" s="3"/>
      <c r="P2169" s="10"/>
    </row>
    <row r="2170" spans="1:16" x14ac:dyDescent="0.15">
      <c r="A2170" s="10"/>
      <c r="B2170" s="3"/>
      <c r="C2170" s="10"/>
      <c r="D2170" s="10"/>
      <c r="E2170" s="10"/>
      <c r="F2170" s="10"/>
      <c r="G2170" s="10"/>
      <c r="H2170" s="10"/>
      <c r="I2170" s="10"/>
      <c r="J2170" s="10"/>
      <c r="K2170" s="10"/>
      <c r="L2170" s="10"/>
      <c r="M2170" s="10"/>
      <c r="N2170" s="10"/>
      <c r="O2170" s="3"/>
      <c r="P2170" s="10"/>
    </row>
    <row r="2171" spans="1:16" x14ac:dyDescent="0.15">
      <c r="A2171" s="10"/>
      <c r="B2171" s="3"/>
      <c r="C2171" s="10"/>
      <c r="D2171" s="10"/>
      <c r="E2171" s="10"/>
      <c r="F2171" s="10"/>
      <c r="G2171" s="10"/>
      <c r="H2171" s="10"/>
      <c r="I2171" s="10"/>
      <c r="J2171" s="10"/>
      <c r="K2171" s="10"/>
      <c r="L2171" s="10"/>
      <c r="M2171" s="10"/>
      <c r="N2171" s="10"/>
      <c r="O2171" s="3"/>
      <c r="P2171" s="10"/>
    </row>
    <row r="2172" spans="1:16" x14ac:dyDescent="0.15">
      <c r="A2172" s="10"/>
      <c r="B2172" s="3"/>
      <c r="C2172" s="10"/>
      <c r="D2172" s="10"/>
      <c r="E2172" s="10"/>
      <c r="F2172" s="10"/>
      <c r="G2172" s="10"/>
      <c r="H2172" s="10"/>
      <c r="I2172" s="10"/>
      <c r="J2172" s="10"/>
      <c r="K2172" s="10"/>
      <c r="L2172" s="10"/>
      <c r="M2172" s="10"/>
      <c r="N2172" s="10"/>
      <c r="O2172" s="3"/>
      <c r="P2172" s="10"/>
    </row>
    <row r="2173" spans="1:16" x14ac:dyDescent="0.15">
      <c r="A2173" s="10"/>
      <c r="B2173" s="3"/>
      <c r="C2173" s="10"/>
      <c r="D2173" s="10"/>
      <c r="E2173" s="10"/>
      <c r="F2173" s="10"/>
      <c r="G2173" s="10"/>
      <c r="H2173" s="10"/>
      <c r="I2173" s="10"/>
      <c r="J2173" s="10"/>
      <c r="K2173" s="10"/>
      <c r="L2173" s="10"/>
      <c r="M2173" s="10"/>
      <c r="N2173" s="10"/>
      <c r="O2173" s="3"/>
      <c r="P2173" s="10"/>
    </row>
    <row r="2174" spans="1:16" x14ac:dyDescent="0.15">
      <c r="A2174" s="10"/>
      <c r="B2174" s="3"/>
      <c r="C2174" s="10"/>
      <c r="D2174" s="10"/>
      <c r="E2174" s="10"/>
      <c r="F2174" s="10"/>
      <c r="G2174" s="10"/>
      <c r="H2174" s="10"/>
      <c r="I2174" s="10"/>
      <c r="J2174" s="10"/>
      <c r="K2174" s="10"/>
      <c r="L2174" s="10"/>
      <c r="M2174" s="10"/>
      <c r="N2174" s="10"/>
      <c r="O2174" s="3"/>
      <c r="P2174" s="10"/>
    </row>
    <row r="2175" spans="1:16" x14ac:dyDescent="0.15">
      <c r="A2175" s="10"/>
      <c r="B2175" s="3"/>
      <c r="C2175" s="10"/>
      <c r="D2175" s="10"/>
      <c r="E2175" s="10"/>
      <c r="F2175" s="10"/>
      <c r="G2175" s="10"/>
      <c r="H2175" s="10"/>
      <c r="I2175" s="10"/>
      <c r="J2175" s="10"/>
      <c r="K2175" s="10"/>
      <c r="L2175" s="10"/>
      <c r="M2175" s="10"/>
      <c r="N2175" s="10"/>
      <c r="O2175" s="3"/>
      <c r="P2175" s="10"/>
    </row>
    <row r="2176" spans="1:16" x14ac:dyDescent="0.15">
      <c r="A2176" s="10"/>
      <c r="B2176" s="3"/>
      <c r="C2176" s="10"/>
      <c r="D2176" s="10"/>
      <c r="E2176" s="10"/>
      <c r="F2176" s="10"/>
      <c r="G2176" s="10"/>
      <c r="H2176" s="10"/>
      <c r="I2176" s="10"/>
      <c r="J2176" s="10"/>
      <c r="K2176" s="10"/>
      <c r="L2176" s="10"/>
      <c r="M2176" s="10"/>
      <c r="N2176" s="10"/>
      <c r="O2176" s="3"/>
      <c r="P2176" s="10"/>
    </row>
    <row r="2177" spans="1:16" x14ac:dyDescent="0.15">
      <c r="A2177" s="10"/>
      <c r="B2177" s="3"/>
      <c r="C2177" s="10"/>
      <c r="D2177" s="10"/>
      <c r="E2177" s="10"/>
      <c r="F2177" s="10"/>
      <c r="G2177" s="10"/>
      <c r="H2177" s="10"/>
      <c r="I2177" s="10"/>
      <c r="J2177" s="10"/>
      <c r="K2177" s="10"/>
      <c r="L2177" s="10"/>
      <c r="M2177" s="10"/>
      <c r="N2177" s="10"/>
      <c r="O2177" s="3"/>
      <c r="P2177" s="10"/>
    </row>
    <row r="2178" spans="1:16" x14ac:dyDescent="0.15">
      <c r="A2178" s="10"/>
      <c r="B2178" s="3"/>
      <c r="C2178" s="10"/>
      <c r="D2178" s="10"/>
      <c r="E2178" s="10"/>
      <c r="F2178" s="10"/>
      <c r="G2178" s="10"/>
      <c r="H2178" s="10"/>
      <c r="I2178" s="10"/>
      <c r="J2178" s="10"/>
      <c r="K2178" s="10"/>
      <c r="L2178" s="10"/>
      <c r="M2178" s="10"/>
      <c r="N2178" s="10"/>
      <c r="O2178" s="3"/>
      <c r="P2178" s="10"/>
    </row>
    <row r="2179" spans="1:16" x14ac:dyDescent="0.15">
      <c r="A2179" s="10"/>
      <c r="B2179" s="3"/>
      <c r="C2179" s="10"/>
      <c r="D2179" s="10"/>
      <c r="E2179" s="10"/>
      <c r="F2179" s="10"/>
      <c r="G2179" s="10"/>
      <c r="H2179" s="10"/>
      <c r="I2179" s="10"/>
      <c r="J2179" s="10"/>
      <c r="K2179" s="10"/>
      <c r="L2179" s="10"/>
      <c r="M2179" s="10"/>
      <c r="N2179" s="10"/>
      <c r="O2179" s="3"/>
      <c r="P2179" s="10"/>
    </row>
    <row r="2180" spans="1:16" x14ac:dyDescent="0.15">
      <c r="A2180" s="10"/>
      <c r="B2180" s="3"/>
      <c r="C2180" s="10"/>
      <c r="D2180" s="10"/>
      <c r="E2180" s="10"/>
      <c r="F2180" s="10"/>
      <c r="G2180" s="10"/>
      <c r="H2180" s="10"/>
      <c r="I2180" s="10"/>
      <c r="J2180" s="10"/>
      <c r="K2180" s="10"/>
      <c r="L2180" s="10"/>
      <c r="M2180" s="10"/>
      <c r="N2180" s="10"/>
      <c r="O2180" s="3"/>
      <c r="P2180" s="10"/>
    </row>
    <row r="2181" spans="1:16" x14ac:dyDescent="0.15">
      <c r="A2181" s="10"/>
      <c r="B2181" s="3"/>
      <c r="C2181" s="10"/>
      <c r="D2181" s="10"/>
      <c r="E2181" s="10"/>
      <c r="F2181" s="10"/>
      <c r="G2181" s="10"/>
      <c r="H2181" s="10"/>
      <c r="I2181" s="10"/>
      <c r="J2181" s="10"/>
      <c r="K2181" s="10"/>
      <c r="L2181" s="10"/>
      <c r="M2181" s="10"/>
      <c r="N2181" s="10"/>
      <c r="O2181" s="3"/>
      <c r="P2181" s="10"/>
    </row>
    <row r="2182" spans="1:16" x14ac:dyDescent="0.15">
      <c r="A2182" s="10"/>
      <c r="B2182" s="3"/>
      <c r="C2182" s="10"/>
      <c r="D2182" s="10"/>
      <c r="E2182" s="10"/>
      <c r="F2182" s="10"/>
      <c r="G2182" s="10"/>
      <c r="H2182" s="10"/>
      <c r="I2182" s="10"/>
      <c r="J2182" s="10"/>
      <c r="K2182" s="10"/>
      <c r="L2182" s="10"/>
      <c r="M2182" s="10"/>
      <c r="N2182" s="10"/>
      <c r="O2182" s="3"/>
      <c r="P2182" s="10"/>
    </row>
    <row r="2183" spans="1:16" x14ac:dyDescent="0.15">
      <c r="A2183" s="10"/>
      <c r="B2183" s="3"/>
      <c r="C2183" s="10"/>
      <c r="D2183" s="10"/>
      <c r="E2183" s="10"/>
      <c r="F2183" s="10"/>
      <c r="G2183" s="10"/>
      <c r="H2183" s="10"/>
      <c r="I2183" s="10"/>
      <c r="J2183" s="10"/>
      <c r="K2183" s="10"/>
      <c r="L2183" s="10"/>
      <c r="M2183" s="10"/>
      <c r="N2183" s="10"/>
      <c r="O2183" s="3"/>
      <c r="P2183" s="10"/>
    </row>
    <row r="2184" spans="1:16" x14ac:dyDescent="0.15">
      <c r="A2184" s="10"/>
      <c r="B2184" s="3"/>
      <c r="C2184" s="10"/>
      <c r="D2184" s="10"/>
      <c r="E2184" s="10"/>
      <c r="F2184" s="10"/>
      <c r="G2184" s="10"/>
      <c r="H2184" s="10"/>
      <c r="I2184" s="10"/>
      <c r="J2184" s="10"/>
      <c r="K2184" s="10"/>
      <c r="L2184" s="10"/>
      <c r="M2184" s="10"/>
      <c r="N2184" s="10"/>
      <c r="O2184" s="3"/>
      <c r="P2184" s="10"/>
    </row>
    <row r="2185" spans="1:16" x14ac:dyDescent="0.15">
      <c r="A2185" s="10"/>
      <c r="B2185" s="3"/>
      <c r="C2185" s="10"/>
      <c r="D2185" s="10"/>
      <c r="E2185" s="10"/>
      <c r="F2185" s="10"/>
      <c r="G2185" s="10"/>
      <c r="H2185" s="10"/>
      <c r="I2185" s="10"/>
      <c r="J2185" s="10"/>
      <c r="K2185" s="10"/>
      <c r="L2185" s="10"/>
      <c r="M2185" s="10"/>
      <c r="N2185" s="10"/>
      <c r="O2185" s="3"/>
      <c r="P2185" s="10"/>
    </row>
    <row r="2186" spans="1:16" x14ac:dyDescent="0.15">
      <c r="A2186" s="10"/>
      <c r="B2186" s="3"/>
      <c r="C2186" s="10"/>
      <c r="D2186" s="10"/>
      <c r="E2186" s="10"/>
      <c r="F2186" s="10"/>
      <c r="G2186" s="10"/>
      <c r="H2186" s="10"/>
      <c r="I2186" s="10"/>
      <c r="J2186" s="10"/>
      <c r="K2186" s="10"/>
      <c r="L2186" s="10"/>
      <c r="M2186" s="10"/>
      <c r="N2186" s="10"/>
      <c r="O2186" s="3"/>
      <c r="P2186" s="10"/>
    </row>
    <row r="2187" spans="1:16" x14ac:dyDescent="0.15">
      <c r="A2187" s="10"/>
      <c r="B2187" s="3"/>
      <c r="C2187" s="10"/>
      <c r="D2187" s="10"/>
      <c r="E2187" s="10"/>
      <c r="F2187" s="10"/>
      <c r="G2187" s="10"/>
      <c r="H2187" s="10"/>
      <c r="I2187" s="10"/>
      <c r="J2187" s="10"/>
      <c r="K2187" s="10"/>
      <c r="L2187" s="10"/>
      <c r="M2187" s="10"/>
      <c r="N2187" s="10"/>
      <c r="O2187" s="3"/>
      <c r="P2187" s="10"/>
    </row>
    <row r="2188" spans="1:16" x14ac:dyDescent="0.15">
      <c r="A2188" s="10"/>
      <c r="B2188" s="3"/>
      <c r="C2188" s="10"/>
      <c r="D2188" s="10"/>
      <c r="E2188" s="10"/>
      <c r="F2188" s="10"/>
      <c r="G2188" s="10"/>
      <c r="H2188" s="10"/>
      <c r="I2188" s="10"/>
      <c r="J2188" s="10"/>
      <c r="K2188" s="10"/>
      <c r="L2188" s="10"/>
      <c r="M2188" s="10"/>
      <c r="N2188" s="10"/>
      <c r="O2188" s="3"/>
      <c r="P2188" s="10"/>
    </row>
    <row r="2189" spans="1:16" x14ac:dyDescent="0.15">
      <c r="A2189" s="10"/>
      <c r="B2189" s="3"/>
      <c r="C2189" s="10"/>
      <c r="D2189" s="10"/>
      <c r="E2189" s="10"/>
      <c r="F2189" s="10"/>
      <c r="G2189" s="10"/>
      <c r="H2189" s="10"/>
      <c r="I2189" s="10"/>
      <c r="J2189" s="10"/>
      <c r="K2189" s="10"/>
      <c r="L2189" s="10"/>
      <c r="M2189" s="10"/>
      <c r="N2189" s="10"/>
      <c r="O2189" s="3"/>
      <c r="P2189" s="10"/>
    </row>
    <row r="2190" spans="1:16" x14ac:dyDescent="0.15">
      <c r="A2190" s="10"/>
      <c r="B2190" s="3"/>
      <c r="C2190" s="10"/>
      <c r="D2190" s="10"/>
      <c r="E2190" s="10"/>
      <c r="F2190" s="10"/>
      <c r="G2190" s="10"/>
      <c r="H2190" s="10"/>
      <c r="I2190" s="10"/>
      <c r="J2190" s="10"/>
      <c r="K2190" s="10"/>
      <c r="L2190" s="10"/>
      <c r="M2190" s="10"/>
      <c r="N2190" s="10"/>
      <c r="O2190" s="3"/>
      <c r="P2190" s="10"/>
    </row>
    <row r="2191" spans="1:16" x14ac:dyDescent="0.15">
      <c r="A2191" s="10"/>
      <c r="B2191" s="3"/>
      <c r="C2191" s="10"/>
      <c r="D2191" s="10"/>
      <c r="E2191" s="10"/>
      <c r="F2191" s="10"/>
      <c r="G2191" s="10"/>
      <c r="H2191" s="10"/>
      <c r="I2191" s="10"/>
      <c r="J2191" s="10"/>
      <c r="K2191" s="10"/>
      <c r="L2191" s="10"/>
      <c r="M2191" s="10"/>
      <c r="N2191" s="10"/>
      <c r="O2191" s="3"/>
      <c r="P2191" s="10"/>
    </row>
    <row r="2192" spans="1:16" x14ac:dyDescent="0.15">
      <c r="A2192" s="10"/>
      <c r="B2192" s="3"/>
      <c r="C2192" s="10"/>
      <c r="D2192" s="10"/>
      <c r="E2192" s="10"/>
      <c r="F2192" s="10"/>
      <c r="G2192" s="10"/>
      <c r="H2192" s="10"/>
      <c r="I2192" s="10"/>
      <c r="J2192" s="10"/>
      <c r="K2192" s="10"/>
      <c r="L2192" s="10"/>
      <c r="M2192" s="10"/>
      <c r="N2192" s="10"/>
      <c r="O2192" s="3"/>
      <c r="P2192" s="10"/>
    </row>
    <row r="2193" spans="1:16" x14ac:dyDescent="0.15">
      <c r="A2193" s="10"/>
      <c r="B2193" s="3"/>
      <c r="C2193" s="10"/>
      <c r="D2193" s="10"/>
      <c r="E2193" s="10"/>
      <c r="F2193" s="10"/>
      <c r="G2193" s="10"/>
      <c r="H2193" s="10"/>
      <c r="I2193" s="10"/>
      <c r="J2193" s="10"/>
      <c r="K2193" s="10"/>
      <c r="L2193" s="10"/>
      <c r="M2193" s="10"/>
      <c r="N2193" s="10"/>
      <c r="O2193" s="3"/>
      <c r="P2193" s="10"/>
    </row>
    <row r="2194" spans="1:16" x14ac:dyDescent="0.15">
      <c r="A2194" s="10"/>
      <c r="B2194" s="3"/>
      <c r="C2194" s="10"/>
      <c r="D2194" s="10"/>
      <c r="E2194" s="10"/>
      <c r="F2194" s="10"/>
      <c r="G2194" s="10"/>
      <c r="H2194" s="10"/>
      <c r="I2194" s="10"/>
      <c r="J2194" s="10"/>
      <c r="K2194" s="10"/>
      <c r="L2194" s="10"/>
      <c r="M2194" s="10"/>
      <c r="N2194" s="10"/>
      <c r="O2194" s="3"/>
      <c r="P2194" s="10"/>
    </row>
    <row r="2195" spans="1:16" x14ac:dyDescent="0.15">
      <c r="A2195" s="10"/>
      <c r="B2195" s="3"/>
      <c r="C2195" s="10"/>
      <c r="D2195" s="10"/>
      <c r="E2195" s="10"/>
      <c r="F2195" s="10"/>
      <c r="G2195" s="10"/>
      <c r="H2195" s="10"/>
      <c r="I2195" s="10"/>
      <c r="J2195" s="10"/>
      <c r="K2195" s="10"/>
      <c r="L2195" s="10"/>
      <c r="M2195" s="10"/>
      <c r="N2195" s="10"/>
      <c r="O2195" s="3"/>
      <c r="P2195" s="10"/>
    </row>
    <row r="2196" spans="1:16" x14ac:dyDescent="0.15">
      <c r="A2196" s="10"/>
      <c r="B2196" s="3"/>
      <c r="C2196" s="10"/>
      <c r="D2196" s="10"/>
      <c r="E2196" s="10"/>
      <c r="F2196" s="10"/>
      <c r="G2196" s="10"/>
      <c r="H2196" s="10"/>
      <c r="I2196" s="10"/>
      <c r="J2196" s="10"/>
      <c r="K2196" s="10"/>
      <c r="L2196" s="10"/>
      <c r="M2196" s="10"/>
      <c r="N2196" s="10"/>
      <c r="O2196" s="3"/>
      <c r="P2196" s="10"/>
    </row>
    <row r="2197" spans="1:16" x14ac:dyDescent="0.15">
      <c r="A2197" s="10"/>
      <c r="B2197" s="3"/>
      <c r="C2197" s="10"/>
      <c r="D2197" s="10"/>
      <c r="E2197" s="10"/>
      <c r="F2197" s="10"/>
      <c r="G2197" s="10"/>
      <c r="H2197" s="10"/>
      <c r="I2197" s="10"/>
      <c r="J2197" s="10"/>
      <c r="K2197" s="10"/>
      <c r="L2197" s="10"/>
      <c r="M2197" s="10"/>
      <c r="N2197" s="10"/>
      <c r="O2197" s="3"/>
      <c r="P2197" s="10"/>
    </row>
    <row r="2198" spans="1:16" x14ac:dyDescent="0.15">
      <c r="A2198" s="10"/>
      <c r="B2198" s="3"/>
      <c r="C2198" s="10"/>
      <c r="D2198" s="10"/>
      <c r="E2198" s="10"/>
      <c r="F2198" s="10"/>
      <c r="G2198" s="10"/>
      <c r="H2198" s="10"/>
      <c r="I2198" s="10"/>
      <c r="J2198" s="10"/>
      <c r="K2198" s="10"/>
      <c r="L2198" s="10"/>
      <c r="M2198" s="10"/>
      <c r="N2198" s="10"/>
      <c r="O2198" s="3"/>
      <c r="P2198" s="10"/>
    </row>
    <row r="2199" spans="1:16" x14ac:dyDescent="0.15">
      <c r="A2199" s="10"/>
      <c r="B2199" s="3"/>
      <c r="C2199" s="10"/>
      <c r="D2199" s="10"/>
      <c r="E2199" s="10"/>
      <c r="F2199" s="10"/>
      <c r="G2199" s="10"/>
      <c r="H2199" s="10"/>
      <c r="I2199" s="10"/>
      <c r="J2199" s="10"/>
      <c r="K2199" s="10"/>
      <c r="L2199" s="10"/>
      <c r="M2199" s="10"/>
      <c r="N2199" s="10"/>
      <c r="O2199" s="3"/>
      <c r="P2199" s="10"/>
    </row>
    <row r="2200" spans="1:16" x14ac:dyDescent="0.15">
      <c r="A2200" s="10"/>
      <c r="B2200" s="3"/>
      <c r="C2200" s="10"/>
      <c r="D2200" s="10"/>
      <c r="E2200" s="10"/>
      <c r="F2200" s="10"/>
      <c r="G2200" s="10"/>
      <c r="H2200" s="10"/>
      <c r="I2200" s="10"/>
      <c r="J2200" s="10"/>
      <c r="K2200" s="10"/>
      <c r="L2200" s="10"/>
      <c r="M2200" s="10"/>
      <c r="N2200" s="10"/>
      <c r="O2200" s="3"/>
      <c r="P2200" s="10"/>
    </row>
    <row r="2201" spans="1:16" x14ac:dyDescent="0.15">
      <c r="A2201" s="10"/>
      <c r="B2201" s="3"/>
      <c r="C2201" s="10"/>
      <c r="D2201" s="10"/>
      <c r="E2201" s="10"/>
      <c r="F2201" s="10"/>
      <c r="G2201" s="10"/>
      <c r="H2201" s="10"/>
      <c r="I2201" s="10"/>
      <c r="J2201" s="10"/>
      <c r="K2201" s="10"/>
      <c r="L2201" s="10"/>
      <c r="M2201" s="10"/>
      <c r="N2201" s="10"/>
      <c r="O2201" s="3"/>
      <c r="P2201" s="10"/>
    </row>
    <row r="2202" spans="1:16" x14ac:dyDescent="0.15">
      <c r="A2202" s="10"/>
      <c r="B2202" s="3"/>
      <c r="C2202" s="10"/>
      <c r="D2202" s="10"/>
      <c r="E2202" s="10"/>
      <c r="F2202" s="10"/>
      <c r="G2202" s="10"/>
      <c r="H2202" s="10"/>
      <c r="I2202" s="10"/>
      <c r="J2202" s="10"/>
      <c r="K2202" s="10"/>
      <c r="L2202" s="10"/>
      <c r="M2202" s="10"/>
      <c r="N2202" s="10"/>
      <c r="O2202" s="3"/>
      <c r="P2202" s="10"/>
    </row>
    <row r="2203" spans="1:16" x14ac:dyDescent="0.15">
      <c r="A2203" s="10"/>
      <c r="B2203" s="3"/>
      <c r="C2203" s="10"/>
      <c r="D2203" s="10"/>
      <c r="E2203" s="10"/>
      <c r="F2203" s="10"/>
      <c r="G2203" s="10"/>
      <c r="H2203" s="10"/>
      <c r="I2203" s="10"/>
      <c r="J2203" s="10"/>
      <c r="K2203" s="10"/>
      <c r="L2203" s="10"/>
      <c r="M2203" s="10"/>
      <c r="N2203" s="10"/>
      <c r="O2203" s="3"/>
      <c r="P2203" s="10"/>
    </row>
    <row r="2204" spans="1:16" x14ac:dyDescent="0.15">
      <c r="A2204" s="10"/>
      <c r="B2204" s="3"/>
      <c r="C2204" s="10"/>
      <c r="D2204" s="10"/>
      <c r="E2204" s="10"/>
      <c r="F2204" s="10"/>
      <c r="G2204" s="10"/>
      <c r="H2204" s="10"/>
      <c r="I2204" s="10"/>
      <c r="J2204" s="10"/>
      <c r="K2204" s="10"/>
      <c r="L2204" s="10"/>
      <c r="M2204" s="10"/>
      <c r="N2204" s="10"/>
      <c r="O2204" s="3"/>
      <c r="P2204" s="10"/>
    </row>
    <row r="2205" spans="1:16" x14ac:dyDescent="0.15">
      <c r="A2205" s="10"/>
      <c r="B2205" s="3"/>
      <c r="C2205" s="10"/>
      <c r="D2205" s="10"/>
      <c r="E2205" s="10"/>
      <c r="F2205" s="10"/>
      <c r="G2205" s="10"/>
      <c r="H2205" s="10"/>
      <c r="I2205" s="10"/>
      <c r="J2205" s="10"/>
      <c r="K2205" s="10"/>
      <c r="L2205" s="10"/>
      <c r="M2205" s="10"/>
      <c r="N2205" s="10"/>
      <c r="O2205" s="3"/>
      <c r="P2205" s="10"/>
    </row>
    <row r="2206" spans="1:16" x14ac:dyDescent="0.15">
      <c r="A2206" s="10"/>
      <c r="B2206" s="3"/>
      <c r="C2206" s="10"/>
      <c r="D2206" s="10"/>
      <c r="E2206" s="10"/>
      <c r="F2206" s="10"/>
      <c r="G2206" s="10"/>
      <c r="H2206" s="10"/>
      <c r="I2206" s="10"/>
      <c r="J2206" s="10"/>
      <c r="K2206" s="10"/>
      <c r="L2206" s="10"/>
      <c r="M2206" s="10"/>
      <c r="N2206" s="10"/>
      <c r="O2206" s="3"/>
      <c r="P2206" s="10"/>
    </row>
    <row r="2207" spans="1:16" x14ac:dyDescent="0.15">
      <c r="A2207" s="10"/>
      <c r="B2207" s="3"/>
      <c r="C2207" s="10"/>
      <c r="D2207" s="10"/>
      <c r="E2207" s="10"/>
      <c r="F2207" s="10"/>
      <c r="G2207" s="10"/>
      <c r="H2207" s="10"/>
      <c r="I2207" s="10"/>
      <c r="J2207" s="10"/>
      <c r="K2207" s="10"/>
      <c r="L2207" s="10"/>
      <c r="M2207" s="10"/>
      <c r="N2207" s="10"/>
      <c r="O2207" s="3"/>
      <c r="P2207" s="10"/>
    </row>
    <row r="2208" spans="1:16" x14ac:dyDescent="0.15">
      <c r="A2208" s="10"/>
      <c r="B2208" s="3"/>
      <c r="C2208" s="10"/>
      <c r="D2208" s="10"/>
      <c r="E2208" s="10"/>
      <c r="F2208" s="10"/>
      <c r="G2208" s="10"/>
      <c r="H2208" s="10"/>
      <c r="I2208" s="10"/>
      <c r="J2208" s="10"/>
      <c r="K2208" s="10"/>
      <c r="L2208" s="10"/>
      <c r="M2208" s="10"/>
      <c r="N2208" s="10"/>
      <c r="O2208" s="3"/>
      <c r="P2208" s="10"/>
    </row>
    <row r="2209" spans="1:16" x14ac:dyDescent="0.15">
      <c r="A2209" s="10"/>
      <c r="B2209" s="3"/>
      <c r="C2209" s="10"/>
      <c r="D2209" s="10"/>
      <c r="E2209" s="10"/>
      <c r="F2209" s="10"/>
      <c r="G2209" s="10"/>
      <c r="H2209" s="10"/>
      <c r="I2209" s="10"/>
      <c r="J2209" s="10"/>
      <c r="K2209" s="10"/>
      <c r="L2209" s="10"/>
      <c r="M2209" s="10"/>
      <c r="N2209" s="10"/>
      <c r="O2209" s="3"/>
      <c r="P2209" s="10"/>
    </row>
    <row r="2210" spans="1:16" x14ac:dyDescent="0.15">
      <c r="A2210" s="10"/>
      <c r="B2210" s="3"/>
      <c r="C2210" s="10"/>
      <c r="D2210" s="10"/>
      <c r="E2210" s="10"/>
      <c r="F2210" s="10"/>
      <c r="G2210" s="10"/>
      <c r="H2210" s="10"/>
      <c r="I2210" s="10"/>
      <c r="J2210" s="10"/>
      <c r="K2210" s="10"/>
      <c r="L2210" s="10"/>
      <c r="M2210" s="10"/>
      <c r="N2210" s="10"/>
      <c r="O2210" s="3"/>
      <c r="P2210" s="10"/>
    </row>
    <row r="2211" spans="1:16" x14ac:dyDescent="0.15">
      <c r="A2211" s="10"/>
      <c r="B2211" s="3"/>
      <c r="C2211" s="10"/>
      <c r="D2211" s="10"/>
      <c r="E2211" s="10"/>
      <c r="F2211" s="10"/>
      <c r="G2211" s="10"/>
      <c r="H2211" s="10"/>
      <c r="I2211" s="10"/>
      <c r="J2211" s="10"/>
      <c r="K2211" s="10"/>
      <c r="L2211" s="10"/>
      <c r="M2211" s="10"/>
      <c r="N2211" s="10"/>
      <c r="O2211" s="3"/>
      <c r="P2211" s="10"/>
    </row>
    <row r="2212" spans="1:16" x14ac:dyDescent="0.15">
      <c r="A2212" s="10"/>
      <c r="B2212" s="3"/>
      <c r="C2212" s="10"/>
      <c r="D2212" s="10"/>
      <c r="E2212" s="10"/>
      <c r="F2212" s="10"/>
      <c r="G2212" s="10"/>
      <c r="H2212" s="10"/>
      <c r="I2212" s="10"/>
      <c r="J2212" s="10"/>
      <c r="K2212" s="10"/>
      <c r="L2212" s="10"/>
      <c r="M2212" s="10"/>
      <c r="N2212" s="10"/>
      <c r="O2212" s="3"/>
      <c r="P2212" s="10"/>
    </row>
    <row r="2213" spans="1:16" x14ac:dyDescent="0.15">
      <c r="A2213" s="10"/>
      <c r="B2213" s="3"/>
      <c r="C2213" s="10"/>
      <c r="D2213" s="10"/>
      <c r="E2213" s="10"/>
      <c r="F2213" s="10"/>
      <c r="G2213" s="10"/>
      <c r="H2213" s="10"/>
      <c r="I2213" s="10"/>
      <c r="J2213" s="10"/>
      <c r="K2213" s="10"/>
      <c r="L2213" s="10"/>
      <c r="M2213" s="10"/>
      <c r="N2213" s="10"/>
      <c r="O2213" s="3"/>
      <c r="P2213" s="10"/>
    </row>
    <row r="2214" spans="1:16" x14ac:dyDescent="0.15">
      <c r="A2214" s="10"/>
      <c r="B2214" s="3"/>
      <c r="C2214" s="10"/>
      <c r="D2214" s="10"/>
      <c r="E2214" s="10"/>
      <c r="F2214" s="10"/>
      <c r="G2214" s="10"/>
      <c r="H2214" s="10"/>
      <c r="I2214" s="10"/>
      <c r="J2214" s="10"/>
      <c r="K2214" s="10"/>
      <c r="L2214" s="10"/>
      <c r="M2214" s="10"/>
      <c r="N2214" s="10"/>
      <c r="O2214" s="3"/>
      <c r="P2214" s="10"/>
    </row>
    <row r="2215" spans="1:16" x14ac:dyDescent="0.15">
      <c r="A2215" s="10"/>
      <c r="B2215" s="3"/>
      <c r="C2215" s="10"/>
      <c r="D2215" s="10"/>
      <c r="E2215" s="10"/>
      <c r="F2215" s="10"/>
      <c r="G2215" s="10"/>
      <c r="H2215" s="10"/>
      <c r="I2215" s="10"/>
      <c r="J2215" s="10"/>
      <c r="K2215" s="10"/>
      <c r="L2215" s="10"/>
      <c r="M2215" s="10"/>
      <c r="N2215" s="10"/>
      <c r="O2215" s="3"/>
      <c r="P2215" s="10"/>
    </row>
    <row r="2216" spans="1:16" x14ac:dyDescent="0.15">
      <c r="A2216" s="10"/>
      <c r="B2216" s="3"/>
      <c r="C2216" s="10"/>
      <c r="D2216" s="10"/>
      <c r="E2216" s="10"/>
      <c r="F2216" s="10"/>
      <c r="G2216" s="10"/>
      <c r="H2216" s="10"/>
      <c r="I2216" s="10"/>
      <c r="J2216" s="10"/>
      <c r="K2216" s="10"/>
      <c r="L2216" s="10"/>
      <c r="M2216" s="10"/>
      <c r="N2216" s="10"/>
      <c r="O2216" s="3"/>
      <c r="P2216" s="10"/>
    </row>
    <row r="2217" spans="1:16" x14ac:dyDescent="0.15">
      <c r="A2217" s="10"/>
      <c r="B2217" s="3"/>
      <c r="C2217" s="10"/>
      <c r="D2217" s="10"/>
      <c r="E2217" s="10"/>
      <c r="F2217" s="10"/>
      <c r="G2217" s="10"/>
      <c r="H2217" s="10"/>
      <c r="I2217" s="10"/>
      <c r="J2217" s="10"/>
      <c r="K2217" s="10"/>
      <c r="L2217" s="10"/>
      <c r="M2217" s="10"/>
      <c r="N2217" s="10"/>
      <c r="O2217" s="3"/>
      <c r="P2217" s="10"/>
    </row>
    <row r="2218" spans="1:16" x14ac:dyDescent="0.15">
      <c r="A2218" s="10"/>
      <c r="B2218" s="3"/>
      <c r="C2218" s="10"/>
      <c r="D2218" s="10"/>
      <c r="E2218" s="10"/>
      <c r="F2218" s="10"/>
      <c r="G2218" s="10"/>
      <c r="H2218" s="10"/>
      <c r="I2218" s="10"/>
      <c r="J2218" s="10"/>
      <c r="K2218" s="10"/>
      <c r="L2218" s="10"/>
      <c r="M2218" s="10"/>
      <c r="N2218" s="10"/>
      <c r="O2218" s="3"/>
      <c r="P2218" s="10"/>
    </row>
    <row r="2219" spans="1:16" x14ac:dyDescent="0.15">
      <c r="A2219" s="10"/>
      <c r="B2219" s="3"/>
      <c r="C2219" s="10"/>
      <c r="D2219" s="10"/>
      <c r="E2219" s="10"/>
      <c r="F2219" s="10"/>
      <c r="G2219" s="10"/>
      <c r="H2219" s="10"/>
      <c r="I2219" s="10"/>
      <c r="J2219" s="10"/>
      <c r="K2219" s="10"/>
      <c r="L2219" s="10"/>
      <c r="M2219" s="10"/>
      <c r="N2219" s="10"/>
      <c r="O2219" s="3"/>
      <c r="P2219" s="10"/>
    </row>
    <row r="2220" spans="1:16" x14ac:dyDescent="0.15">
      <c r="A2220" s="10"/>
      <c r="B2220" s="3"/>
      <c r="C2220" s="10"/>
      <c r="D2220" s="10"/>
      <c r="E2220" s="10"/>
      <c r="F2220" s="10"/>
      <c r="G2220" s="10"/>
      <c r="H2220" s="10"/>
      <c r="I2220" s="10"/>
      <c r="J2220" s="10"/>
      <c r="K2220" s="10"/>
      <c r="L2220" s="10"/>
      <c r="M2220" s="10"/>
      <c r="N2220" s="10"/>
      <c r="O2220" s="3"/>
      <c r="P2220" s="10"/>
    </row>
    <row r="2221" spans="1:16" x14ac:dyDescent="0.15">
      <c r="A2221" s="10"/>
      <c r="B2221" s="3"/>
      <c r="C2221" s="10"/>
      <c r="D2221" s="10"/>
      <c r="E2221" s="10"/>
      <c r="F2221" s="10"/>
      <c r="G2221" s="10"/>
      <c r="H2221" s="10"/>
      <c r="I2221" s="10"/>
      <c r="J2221" s="10"/>
      <c r="K2221" s="10"/>
      <c r="L2221" s="10"/>
      <c r="M2221" s="10"/>
      <c r="N2221" s="10"/>
      <c r="O2221" s="3"/>
      <c r="P2221" s="10"/>
    </row>
    <row r="2222" spans="1:16" x14ac:dyDescent="0.15">
      <c r="A2222" s="10"/>
      <c r="B2222" s="3"/>
      <c r="C2222" s="10"/>
      <c r="D2222" s="10"/>
      <c r="E2222" s="10"/>
      <c r="F2222" s="10"/>
      <c r="G2222" s="10"/>
      <c r="H2222" s="10"/>
      <c r="I2222" s="10"/>
      <c r="J2222" s="10"/>
      <c r="K2222" s="10"/>
      <c r="L2222" s="10"/>
      <c r="M2222" s="10"/>
      <c r="N2222" s="10"/>
      <c r="O2222" s="3"/>
      <c r="P2222" s="10"/>
    </row>
    <row r="2223" spans="1:16" x14ac:dyDescent="0.15">
      <c r="A2223" s="10"/>
      <c r="B2223" s="3"/>
      <c r="C2223" s="10"/>
      <c r="D2223" s="10"/>
      <c r="E2223" s="10"/>
      <c r="F2223" s="10"/>
      <c r="G2223" s="10"/>
      <c r="H2223" s="10"/>
      <c r="I2223" s="10"/>
      <c r="J2223" s="10"/>
      <c r="K2223" s="10"/>
      <c r="L2223" s="10"/>
      <c r="M2223" s="10"/>
      <c r="N2223" s="10"/>
      <c r="O2223" s="3"/>
      <c r="P2223" s="10"/>
    </row>
    <row r="2224" spans="1:16" x14ac:dyDescent="0.15">
      <c r="A2224" s="10"/>
      <c r="B2224" s="3"/>
      <c r="C2224" s="10"/>
      <c r="D2224" s="10"/>
      <c r="E2224" s="10"/>
      <c r="F2224" s="10"/>
      <c r="G2224" s="10"/>
      <c r="H2224" s="10"/>
      <c r="I2224" s="10"/>
      <c r="J2224" s="10"/>
      <c r="K2224" s="10"/>
      <c r="L2224" s="10"/>
      <c r="M2224" s="10"/>
      <c r="N2224" s="10"/>
      <c r="O2224" s="3"/>
      <c r="P2224" s="10"/>
    </row>
    <row r="2225" spans="1:16" x14ac:dyDescent="0.15">
      <c r="A2225" s="10"/>
      <c r="B2225" s="3"/>
      <c r="C2225" s="10"/>
      <c r="D2225" s="10"/>
      <c r="E2225" s="10"/>
      <c r="F2225" s="10"/>
      <c r="G2225" s="10"/>
      <c r="H2225" s="10"/>
      <c r="I2225" s="10"/>
      <c r="J2225" s="10"/>
      <c r="K2225" s="10"/>
      <c r="L2225" s="10"/>
      <c r="M2225" s="10"/>
      <c r="N2225" s="10"/>
      <c r="O2225" s="3"/>
      <c r="P2225" s="10"/>
    </row>
    <row r="2226" spans="1:16" x14ac:dyDescent="0.15">
      <c r="A2226" s="10"/>
      <c r="B2226" s="3"/>
      <c r="C2226" s="10"/>
      <c r="D2226" s="10"/>
      <c r="E2226" s="10"/>
      <c r="F2226" s="10"/>
      <c r="G2226" s="10"/>
      <c r="H2226" s="10"/>
      <c r="I2226" s="10"/>
      <c r="J2226" s="10"/>
      <c r="K2226" s="10"/>
      <c r="L2226" s="10"/>
      <c r="M2226" s="10"/>
      <c r="N2226" s="10"/>
      <c r="O2226" s="3"/>
      <c r="P2226" s="10"/>
    </row>
    <row r="2227" spans="1:16" x14ac:dyDescent="0.15">
      <c r="A2227" s="10"/>
      <c r="B2227" s="3"/>
      <c r="C2227" s="10"/>
      <c r="D2227" s="10"/>
      <c r="E2227" s="10"/>
      <c r="F2227" s="10"/>
      <c r="G2227" s="10"/>
      <c r="H2227" s="10"/>
      <c r="I2227" s="10"/>
      <c r="J2227" s="10"/>
      <c r="K2227" s="10"/>
      <c r="L2227" s="10"/>
      <c r="M2227" s="10"/>
      <c r="N2227" s="10"/>
      <c r="O2227" s="3"/>
      <c r="P2227" s="10"/>
    </row>
    <row r="2228" spans="1:16" x14ac:dyDescent="0.15">
      <c r="A2228" s="10"/>
      <c r="B2228" s="3"/>
      <c r="C2228" s="10"/>
      <c r="D2228" s="10"/>
      <c r="E2228" s="10"/>
      <c r="F2228" s="10"/>
      <c r="G2228" s="10"/>
      <c r="H2228" s="10"/>
      <c r="I2228" s="10"/>
      <c r="J2228" s="10"/>
      <c r="K2228" s="10"/>
      <c r="L2228" s="10"/>
      <c r="M2228" s="10"/>
      <c r="N2228" s="10"/>
      <c r="O2228" s="3"/>
      <c r="P2228" s="10"/>
    </row>
    <row r="2229" spans="1:16" x14ac:dyDescent="0.15">
      <c r="A2229" s="10"/>
      <c r="B2229" s="3"/>
      <c r="C2229" s="10"/>
      <c r="D2229" s="10"/>
      <c r="E2229" s="10"/>
      <c r="F2229" s="10"/>
      <c r="G2229" s="10"/>
      <c r="H2229" s="10"/>
      <c r="I2229" s="10"/>
      <c r="J2229" s="10"/>
      <c r="K2229" s="10"/>
      <c r="L2229" s="10"/>
      <c r="M2229" s="10"/>
      <c r="N2229" s="10"/>
      <c r="O2229" s="3"/>
      <c r="P2229" s="10"/>
    </row>
    <row r="2230" spans="1:16" x14ac:dyDescent="0.15">
      <c r="A2230" s="10"/>
      <c r="B2230" s="3"/>
      <c r="C2230" s="10"/>
      <c r="D2230" s="10"/>
      <c r="E2230" s="10"/>
      <c r="F2230" s="10"/>
      <c r="G2230" s="10"/>
      <c r="H2230" s="10"/>
      <c r="I2230" s="10"/>
      <c r="J2230" s="10"/>
      <c r="K2230" s="10"/>
      <c r="L2230" s="10"/>
      <c r="M2230" s="10"/>
      <c r="N2230" s="10"/>
      <c r="O2230" s="3"/>
      <c r="P2230" s="10"/>
    </row>
    <row r="2231" spans="1:16" x14ac:dyDescent="0.15">
      <c r="A2231" s="10"/>
      <c r="B2231" s="3"/>
      <c r="C2231" s="10"/>
      <c r="D2231" s="10"/>
      <c r="E2231" s="10"/>
      <c r="F2231" s="10"/>
      <c r="G2231" s="10"/>
      <c r="H2231" s="10"/>
      <c r="I2231" s="10"/>
      <c r="J2231" s="10"/>
      <c r="K2231" s="10"/>
      <c r="L2231" s="10"/>
      <c r="M2231" s="10"/>
      <c r="N2231" s="10"/>
      <c r="O2231" s="3"/>
      <c r="P2231" s="10"/>
    </row>
    <row r="2232" spans="1:16" x14ac:dyDescent="0.15">
      <c r="A2232" s="10"/>
      <c r="B2232" s="3"/>
      <c r="C2232" s="10"/>
      <c r="D2232" s="10"/>
      <c r="E2232" s="10"/>
      <c r="F2232" s="10"/>
      <c r="G2232" s="10"/>
      <c r="H2232" s="10"/>
      <c r="I2232" s="10"/>
      <c r="J2232" s="10"/>
      <c r="K2232" s="10"/>
      <c r="L2232" s="10"/>
      <c r="M2232" s="10"/>
      <c r="N2232" s="10"/>
      <c r="O2232" s="3"/>
      <c r="P2232" s="10"/>
    </row>
    <row r="2233" spans="1:16" x14ac:dyDescent="0.15">
      <c r="A2233" s="10"/>
      <c r="B2233" s="3"/>
      <c r="C2233" s="10"/>
      <c r="D2233" s="10"/>
      <c r="E2233" s="10"/>
      <c r="F2233" s="10"/>
      <c r="G2233" s="10"/>
      <c r="H2233" s="10"/>
      <c r="I2233" s="10"/>
      <c r="J2233" s="10"/>
      <c r="K2233" s="10"/>
      <c r="L2233" s="10"/>
      <c r="M2233" s="10"/>
      <c r="N2233" s="10"/>
      <c r="O2233" s="3"/>
      <c r="P2233" s="10"/>
    </row>
    <row r="2234" spans="1:16" x14ac:dyDescent="0.15">
      <c r="A2234" s="10"/>
      <c r="B2234" s="3"/>
      <c r="C2234" s="10"/>
      <c r="D2234" s="10"/>
      <c r="E2234" s="10"/>
      <c r="F2234" s="10"/>
      <c r="G2234" s="10"/>
      <c r="H2234" s="10"/>
      <c r="I2234" s="10"/>
      <c r="J2234" s="10"/>
      <c r="K2234" s="10"/>
      <c r="L2234" s="10"/>
      <c r="M2234" s="10"/>
      <c r="N2234" s="10"/>
      <c r="O2234" s="3"/>
      <c r="P2234" s="10"/>
    </row>
    <row r="2235" spans="1:16" x14ac:dyDescent="0.15">
      <c r="A2235" s="10"/>
      <c r="B2235" s="3"/>
      <c r="C2235" s="10"/>
      <c r="D2235" s="10"/>
      <c r="E2235" s="10"/>
      <c r="F2235" s="10"/>
      <c r="G2235" s="10"/>
      <c r="H2235" s="10"/>
      <c r="I2235" s="10"/>
      <c r="J2235" s="10"/>
      <c r="K2235" s="10"/>
      <c r="L2235" s="10"/>
      <c r="M2235" s="10"/>
      <c r="N2235" s="10"/>
      <c r="O2235" s="3"/>
      <c r="P2235" s="10"/>
    </row>
    <row r="2236" spans="1:16" x14ac:dyDescent="0.15">
      <c r="A2236" s="10"/>
      <c r="B2236" s="3"/>
      <c r="C2236" s="10"/>
      <c r="D2236" s="10"/>
      <c r="E2236" s="10"/>
      <c r="F2236" s="10"/>
      <c r="G2236" s="10"/>
      <c r="H2236" s="10"/>
      <c r="I2236" s="10"/>
      <c r="J2236" s="10"/>
      <c r="K2236" s="10"/>
      <c r="L2236" s="10"/>
      <c r="M2236" s="10"/>
      <c r="N2236" s="10"/>
      <c r="O2236" s="3"/>
      <c r="P2236" s="10"/>
    </row>
    <row r="2237" spans="1:16" x14ac:dyDescent="0.15">
      <c r="A2237" s="10"/>
      <c r="B2237" s="3"/>
      <c r="C2237" s="10"/>
      <c r="D2237" s="10"/>
      <c r="E2237" s="10"/>
      <c r="F2237" s="10"/>
      <c r="G2237" s="10"/>
      <c r="H2237" s="10"/>
      <c r="I2237" s="10"/>
      <c r="J2237" s="10"/>
      <c r="K2237" s="10"/>
      <c r="L2237" s="10"/>
      <c r="M2237" s="10"/>
      <c r="N2237" s="10"/>
      <c r="O2237" s="3"/>
      <c r="P2237" s="10"/>
    </row>
    <row r="2238" spans="1:16" x14ac:dyDescent="0.15">
      <c r="A2238" s="10"/>
      <c r="B2238" s="3"/>
      <c r="C2238" s="10"/>
      <c r="D2238" s="10"/>
      <c r="E2238" s="10"/>
      <c r="F2238" s="10"/>
      <c r="G2238" s="10"/>
      <c r="H2238" s="10"/>
      <c r="I2238" s="10"/>
      <c r="J2238" s="10"/>
      <c r="K2238" s="10"/>
      <c r="L2238" s="10"/>
      <c r="M2238" s="10"/>
      <c r="N2238" s="10"/>
      <c r="O2238" s="3"/>
      <c r="P2238" s="10"/>
    </row>
    <row r="2239" spans="1:16" x14ac:dyDescent="0.15">
      <c r="A2239" s="10"/>
      <c r="B2239" s="3"/>
      <c r="C2239" s="10"/>
      <c r="D2239" s="10"/>
      <c r="E2239" s="10"/>
      <c r="F2239" s="10"/>
      <c r="G2239" s="10"/>
      <c r="H2239" s="10"/>
      <c r="I2239" s="10"/>
      <c r="J2239" s="10"/>
      <c r="K2239" s="10"/>
      <c r="L2239" s="10"/>
      <c r="M2239" s="10"/>
      <c r="N2239" s="10"/>
      <c r="O2239" s="3"/>
      <c r="P2239" s="10"/>
    </row>
    <row r="2240" spans="1:16" x14ac:dyDescent="0.15">
      <c r="A2240" s="10"/>
      <c r="B2240" s="3"/>
      <c r="C2240" s="10"/>
      <c r="D2240" s="10"/>
      <c r="E2240" s="10"/>
      <c r="F2240" s="10"/>
      <c r="G2240" s="10"/>
      <c r="H2240" s="10"/>
      <c r="I2240" s="10"/>
      <c r="J2240" s="10"/>
      <c r="K2240" s="10"/>
      <c r="L2240" s="10"/>
      <c r="M2240" s="10"/>
      <c r="N2240" s="10"/>
      <c r="O2240" s="3"/>
      <c r="P2240" s="10"/>
    </row>
    <row r="2241" spans="1:16" x14ac:dyDescent="0.15">
      <c r="A2241" s="10"/>
      <c r="B2241" s="3"/>
      <c r="C2241" s="10"/>
      <c r="D2241" s="10"/>
      <c r="E2241" s="10"/>
      <c r="F2241" s="10"/>
      <c r="G2241" s="10"/>
      <c r="H2241" s="10"/>
      <c r="I2241" s="10"/>
      <c r="J2241" s="10"/>
      <c r="K2241" s="10"/>
      <c r="L2241" s="10"/>
      <c r="M2241" s="10"/>
      <c r="N2241" s="10"/>
      <c r="O2241" s="3"/>
      <c r="P2241" s="10"/>
    </row>
    <row r="2242" spans="1:16" x14ac:dyDescent="0.15">
      <c r="A2242" s="10"/>
      <c r="B2242" s="3"/>
      <c r="C2242" s="10"/>
      <c r="D2242" s="10"/>
      <c r="E2242" s="10"/>
      <c r="F2242" s="10"/>
      <c r="G2242" s="10"/>
      <c r="H2242" s="10"/>
      <c r="I2242" s="10"/>
      <c r="J2242" s="10"/>
      <c r="K2242" s="10"/>
      <c r="L2242" s="10"/>
      <c r="M2242" s="10"/>
      <c r="N2242" s="10"/>
      <c r="O2242" s="3"/>
      <c r="P2242" s="10"/>
    </row>
    <row r="2243" spans="1:16" x14ac:dyDescent="0.15">
      <c r="A2243" s="10"/>
      <c r="B2243" s="3"/>
      <c r="C2243" s="10"/>
      <c r="D2243" s="10"/>
      <c r="E2243" s="10"/>
      <c r="F2243" s="10"/>
      <c r="G2243" s="10"/>
      <c r="H2243" s="10"/>
      <c r="I2243" s="10"/>
      <c r="J2243" s="10"/>
      <c r="K2243" s="10"/>
      <c r="L2243" s="10"/>
      <c r="M2243" s="10"/>
      <c r="N2243" s="10"/>
      <c r="O2243" s="3"/>
      <c r="P2243" s="10"/>
    </row>
    <row r="2244" spans="1:16" x14ac:dyDescent="0.15">
      <c r="A2244" s="10"/>
      <c r="B2244" s="3"/>
      <c r="C2244" s="10"/>
      <c r="D2244" s="10"/>
      <c r="E2244" s="10"/>
      <c r="F2244" s="10"/>
      <c r="G2244" s="10"/>
      <c r="H2244" s="10"/>
      <c r="I2244" s="10"/>
      <c r="J2244" s="10"/>
      <c r="K2244" s="10"/>
      <c r="L2244" s="10"/>
      <c r="M2244" s="10"/>
      <c r="N2244" s="10"/>
      <c r="O2244" s="3"/>
      <c r="P2244" s="10"/>
    </row>
    <row r="2245" spans="1:16" x14ac:dyDescent="0.15">
      <c r="A2245" s="10"/>
      <c r="B2245" s="3"/>
      <c r="C2245" s="10"/>
      <c r="D2245" s="10"/>
      <c r="E2245" s="10"/>
      <c r="F2245" s="10"/>
      <c r="G2245" s="10"/>
      <c r="H2245" s="10"/>
      <c r="I2245" s="10"/>
      <c r="J2245" s="10"/>
      <c r="K2245" s="10"/>
      <c r="L2245" s="10"/>
      <c r="M2245" s="10"/>
      <c r="N2245" s="10"/>
      <c r="O2245" s="3"/>
      <c r="P2245" s="10"/>
    </row>
    <row r="2246" spans="1:16" x14ac:dyDescent="0.15">
      <c r="A2246" s="10"/>
      <c r="B2246" s="3"/>
      <c r="C2246" s="10"/>
      <c r="D2246" s="10"/>
      <c r="E2246" s="10"/>
      <c r="F2246" s="10"/>
      <c r="G2246" s="10"/>
      <c r="H2246" s="10"/>
      <c r="I2246" s="10"/>
      <c r="J2246" s="10"/>
      <c r="K2246" s="10"/>
      <c r="L2246" s="10"/>
      <c r="M2246" s="10"/>
      <c r="N2246" s="10"/>
      <c r="O2246" s="3"/>
      <c r="P2246" s="10"/>
    </row>
    <row r="2247" spans="1:16" x14ac:dyDescent="0.15">
      <c r="A2247" s="10"/>
      <c r="B2247" s="3"/>
      <c r="C2247" s="10"/>
      <c r="D2247" s="10"/>
      <c r="E2247" s="10"/>
      <c r="F2247" s="10"/>
      <c r="G2247" s="10"/>
      <c r="H2247" s="10"/>
      <c r="I2247" s="10"/>
      <c r="J2247" s="10"/>
      <c r="K2247" s="10"/>
      <c r="L2247" s="10"/>
      <c r="M2247" s="10"/>
      <c r="N2247" s="10"/>
      <c r="O2247" s="3"/>
      <c r="P2247" s="10"/>
    </row>
    <row r="2248" spans="1:16" x14ac:dyDescent="0.15">
      <c r="A2248" s="10"/>
      <c r="B2248" s="3"/>
      <c r="C2248" s="10"/>
      <c r="D2248" s="10"/>
      <c r="E2248" s="10"/>
      <c r="F2248" s="10"/>
      <c r="G2248" s="10"/>
      <c r="H2248" s="10"/>
      <c r="I2248" s="10"/>
      <c r="J2248" s="10"/>
      <c r="K2248" s="10"/>
      <c r="L2248" s="10"/>
      <c r="M2248" s="10"/>
      <c r="N2248" s="10"/>
      <c r="O2248" s="3"/>
      <c r="P2248" s="10"/>
    </row>
    <row r="2249" spans="1:16" x14ac:dyDescent="0.15">
      <c r="A2249" s="10"/>
      <c r="B2249" s="3"/>
      <c r="C2249" s="10"/>
      <c r="D2249" s="10"/>
      <c r="E2249" s="10"/>
      <c r="F2249" s="10"/>
      <c r="G2249" s="10"/>
      <c r="H2249" s="10"/>
      <c r="I2249" s="10"/>
      <c r="J2249" s="10"/>
      <c r="K2249" s="10"/>
      <c r="L2249" s="10"/>
      <c r="M2249" s="10"/>
      <c r="N2249" s="10"/>
      <c r="O2249" s="3"/>
      <c r="P2249" s="10"/>
    </row>
    <row r="2250" spans="1:16" x14ac:dyDescent="0.15">
      <c r="A2250" s="10"/>
      <c r="B2250" s="3"/>
      <c r="C2250" s="10"/>
      <c r="D2250" s="10"/>
      <c r="E2250" s="10"/>
      <c r="F2250" s="10"/>
      <c r="G2250" s="10"/>
      <c r="H2250" s="10"/>
      <c r="I2250" s="10"/>
      <c r="J2250" s="10"/>
      <c r="K2250" s="10"/>
      <c r="L2250" s="10"/>
      <c r="M2250" s="10"/>
      <c r="N2250" s="10"/>
      <c r="O2250" s="3"/>
      <c r="P2250" s="10"/>
    </row>
    <row r="2251" spans="1:16" x14ac:dyDescent="0.15">
      <c r="A2251" s="10"/>
      <c r="B2251" s="3"/>
      <c r="C2251" s="10"/>
      <c r="D2251" s="10"/>
      <c r="E2251" s="10"/>
      <c r="F2251" s="10"/>
      <c r="G2251" s="10"/>
      <c r="H2251" s="10"/>
      <c r="I2251" s="10"/>
      <c r="J2251" s="10"/>
      <c r="K2251" s="10"/>
      <c r="L2251" s="10"/>
      <c r="M2251" s="10"/>
      <c r="N2251" s="10"/>
      <c r="O2251" s="3"/>
      <c r="P2251" s="10"/>
    </row>
    <row r="2252" spans="1:16" x14ac:dyDescent="0.15">
      <c r="A2252" s="10"/>
      <c r="B2252" s="3"/>
      <c r="C2252" s="10"/>
      <c r="D2252" s="10"/>
      <c r="E2252" s="10"/>
      <c r="F2252" s="10"/>
      <c r="G2252" s="10"/>
      <c r="H2252" s="10"/>
      <c r="I2252" s="10"/>
      <c r="J2252" s="10"/>
      <c r="K2252" s="10"/>
      <c r="L2252" s="10"/>
      <c r="M2252" s="10"/>
      <c r="N2252" s="10"/>
      <c r="O2252" s="3"/>
      <c r="P2252" s="10"/>
    </row>
    <row r="2253" spans="1:16" x14ac:dyDescent="0.15">
      <c r="A2253" s="10"/>
      <c r="B2253" s="3"/>
      <c r="C2253" s="10"/>
      <c r="D2253" s="10"/>
      <c r="E2253" s="10"/>
      <c r="F2253" s="10"/>
      <c r="G2253" s="10"/>
      <c r="H2253" s="10"/>
      <c r="I2253" s="10"/>
      <c r="J2253" s="10"/>
      <c r="K2253" s="10"/>
      <c r="L2253" s="10"/>
      <c r="M2253" s="10"/>
      <c r="N2253" s="10"/>
      <c r="O2253" s="3"/>
      <c r="P2253" s="10"/>
    </row>
    <row r="2254" spans="1:16" x14ac:dyDescent="0.15">
      <c r="A2254" s="10"/>
      <c r="B2254" s="3"/>
      <c r="C2254" s="10"/>
      <c r="D2254" s="10"/>
      <c r="E2254" s="10"/>
      <c r="F2254" s="10"/>
      <c r="G2254" s="10"/>
      <c r="H2254" s="10"/>
      <c r="I2254" s="10"/>
      <c r="J2254" s="10"/>
      <c r="K2254" s="10"/>
      <c r="L2254" s="10"/>
      <c r="M2254" s="10"/>
      <c r="N2254" s="10"/>
      <c r="O2254" s="3"/>
      <c r="P2254" s="10"/>
    </row>
    <row r="2255" spans="1:16" x14ac:dyDescent="0.15">
      <c r="A2255" s="10"/>
      <c r="B2255" s="3"/>
      <c r="C2255" s="10"/>
      <c r="D2255" s="10"/>
      <c r="E2255" s="10"/>
      <c r="F2255" s="10"/>
      <c r="G2255" s="10"/>
      <c r="H2255" s="10"/>
      <c r="I2255" s="10"/>
      <c r="J2255" s="10"/>
      <c r="K2255" s="10"/>
      <c r="L2255" s="10"/>
      <c r="M2255" s="10"/>
      <c r="N2255" s="10"/>
      <c r="O2255" s="3"/>
      <c r="P2255" s="10"/>
    </row>
    <row r="2256" spans="1:16" x14ac:dyDescent="0.15">
      <c r="A2256" s="10"/>
      <c r="B2256" s="3"/>
      <c r="C2256" s="10"/>
      <c r="D2256" s="10"/>
      <c r="E2256" s="10"/>
      <c r="F2256" s="10"/>
      <c r="G2256" s="10"/>
      <c r="H2256" s="10"/>
      <c r="I2256" s="10"/>
      <c r="J2256" s="10"/>
      <c r="K2256" s="10"/>
      <c r="L2256" s="10"/>
      <c r="M2256" s="10"/>
      <c r="N2256" s="10"/>
      <c r="O2256" s="3"/>
      <c r="P2256" s="10"/>
    </row>
    <row r="2257" spans="1:16" x14ac:dyDescent="0.15">
      <c r="A2257" s="10"/>
      <c r="B2257" s="3"/>
      <c r="C2257" s="10"/>
      <c r="D2257" s="10"/>
      <c r="E2257" s="10"/>
      <c r="F2257" s="10"/>
      <c r="G2257" s="10"/>
      <c r="H2257" s="10"/>
      <c r="I2257" s="10"/>
      <c r="J2257" s="10"/>
      <c r="K2257" s="10"/>
      <c r="L2257" s="10"/>
      <c r="M2257" s="10"/>
      <c r="N2257" s="10"/>
      <c r="O2257" s="3"/>
      <c r="P2257" s="10"/>
    </row>
    <row r="2258" spans="1:16" x14ac:dyDescent="0.15">
      <c r="A2258" s="10"/>
      <c r="B2258" s="3"/>
      <c r="C2258" s="10"/>
      <c r="D2258" s="10"/>
      <c r="E2258" s="10"/>
      <c r="F2258" s="10"/>
      <c r="G2258" s="10"/>
      <c r="H2258" s="10"/>
      <c r="I2258" s="10"/>
      <c r="J2258" s="10"/>
      <c r="K2258" s="10"/>
      <c r="L2258" s="10"/>
      <c r="M2258" s="10"/>
      <c r="N2258" s="10"/>
      <c r="O2258" s="3"/>
      <c r="P2258" s="10"/>
    </row>
    <row r="2259" spans="1:16" x14ac:dyDescent="0.15">
      <c r="A2259" s="10"/>
      <c r="B2259" s="3"/>
      <c r="C2259" s="10"/>
      <c r="D2259" s="10"/>
      <c r="E2259" s="10"/>
      <c r="F2259" s="10"/>
      <c r="G2259" s="10"/>
      <c r="H2259" s="10"/>
      <c r="I2259" s="10"/>
      <c r="J2259" s="10"/>
      <c r="K2259" s="10"/>
      <c r="L2259" s="10"/>
      <c r="M2259" s="10"/>
      <c r="N2259" s="10"/>
      <c r="O2259" s="3"/>
      <c r="P2259" s="10"/>
    </row>
    <row r="2260" spans="1:16" x14ac:dyDescent="0.15">
      <c r="A2260" s="10"/>
      <c r="B2260" s="3"/>
      <c r="C2260" s="10"/>
      <c r="D2260" s="10"/>
      <c r="E2260" s="10"/>
      <c r="F2260" s="10"/>
      <c r="G2260" s="10"/>
      <c r="H2260" s="10"/>
      <c r="I2260" s="10"/>
      <c r="J2260" s="10"/>
      <c r="K2260" s="10"/>
      <c r="L2260" s="10"/>
      <c r="M2260" s="10"/>
      <c r="N2260" s="10"/>
      <c r="O2260" s="3"/>
      <c r="P2260" s="10"/>
    </row>
    <row r="2261" spans="1:16" x14ac:dyDescent="0.15">
      <c r="A2261" s="10"/>
      <c r="B2261" s="3"/>
      <c r="C2261" s="10"/>
      <c r="D2261" s="10"/>
      <c r="E2261" s="10"/>
      <c r="F2261" s="10"/>
      <c r="G2261" s="10"/>
      <c r="H2261" s="10"/>
      <c r="I2261" s="10"/>
      <c r="J2261" s="10"/>
      <c r="K2261" s="10"/>
      <c r="L2261" s="10"/>
      <c r="M2261" s="10"/>
      <c r="N2261" s="10"/>
      <c r="O2261" s="3"/>
      <c r="P2261" s="10"/>
    </row>
    <row r="2262" spans="1:16" x14ac:dyDescent="0.15">
      <c r="A2262" s="10"/>
      <c r="B2262" s="3"/>
      <c r="C2262" s="10"/>
      <c r="D2262" s="10"/>
      <c r="E2262" s="10"/>
      <c r="F2262" s="10"/>
      <c r="G2262" s="10"/>
      <c r="H2262" s="10"/>
      <c r="I2262" s="10"/>
      <c r="J2262" s="10"/>
      <c r="K2262" s="10"/>
      <c r="L2262" s="10"/>
      <c r="M2262" s="10"/>
      <c r="N2262" s="10"/>
      <c r="O2262" s="3"/>
      <c r="P2262" s="10"/>
    </row>
    <row r="2263" spans="1:16" x14ac:dyDescent="0.15">
      <c r="A2263" s="10"/>
      <c r="B2263" s="3"/>
      <c r="C2263" s="10"/>
      <c r="D2263" s="10"/>
      <c r="E2263" s="10"/>
      <c r="F2263" s="10"/>
      <c r="G2263" s="10"/>
      <c r="H2263" s="10"/>
      <c r="I2263" s="10"/>
      <c r="J2263" s="10"/>
      <c r="K2263" s="10"/>
      <c r="L2263" s="10"/>
      <c r="M2263" s="10"/>
      <c r="N2263" s="10"/>
      <c r="O2263" s="3"/>
      <c r="P2263" s="10"/>
    </row>
    <row r="2264" spans="1:16" x14ac:dyDescent="0.15">
      <c r="A2264" s="10"/>
      <c r="B2264" s="3"/>
      <c r="C2264" s="10"/>
      <c r="D2264" s="10"/>
      <c r="E2264" s="10"/>
      <c r="F2264" s="10"/>
      <c r="G2264" s="10"/>
      <c r="H2264" s="10"/>
      <c r="I2264" s="10"/>
      <c r="J2264" s="10"/>
      <c r="K2264" s="10"/>
      <c r="L2264" s="10"/>
      <c r="M2264" s="10"/>
      <c r="N2264" s="10"/>
      <c r="O2264" s="3"/>
      <c r="P2264" s="10"/>
    </row>
    <row r="2265" spans="1:16" x14ac:dyDescent="0.15">
      <c r="A2265" s="10"/>
      <c r="B2265" s="3"/>
      <c r="C2265" s="10"/>
      <c r="D2265" s="10"/>
      <c r="E2265" s="10"/>
      <c r="F2265" s="10"/>
      <c r="G2265" s="10"/>
      <c r="H2265" s="10"/>
      <c r="I2265" s="10"/>
      <c r="J2265" s="10"/>
      <c r="K2265" s="10"/>
      <c r="L2265" s="10"/>
      <c r="M2265" s="10"/>
      <c r="N2265" s="10"/>
      <c r="O2265" s="3"/>
      <c r="P2265" s="10"/>
    </row>
    <row r="2266" spans="1:16" x14ac:dyDescent="0.15">
      <c r="A2266" s="10"/>
      <c r="B2266" s="3"/>
      <c r="C2266" s="10"/>
      <c r="D2266" s="10"/>
      <c r="E2266" s="10"/>
      <c r="F2266" s="10"/>
      <c r="G2266" s="10"/>
      <c r="H2266" s="10"/>
      <c r="I2266" s="10"/>
      <c r="J2266" s="10"/>
      <c r="K2266" s="10"/>
      <c r="L2266" s="10"/>
      <c r="M2266" s="10"/>
      <c r="N2266" s="10"/>
      <c r="O2266" s="3"/>
      <c r="P2266" s="10"/>
    </row>
    <row r="2267" spans="1:16" x14ac:dyDescent="0.15">
      <c r="A2267" s="10"/>
      <c r="B2267" s="3"/>
      <c r="C2267" s="10"/>
      <c r="D2267" s="10"/>
      <c r="E2267" s="10"/>
      <c r="F2267" s="10"/>
      <c r="G2267" s="10"/>
      <c r="H2267" s="10"/>
      <c r="I2267" s="10"/>
      <c r="J2267" s="10"/>
      <c r="K2267" s="10"/>
      <c r="L2267" s="10"/>
      <c r="M2267" s="10"/>
      <c r="N2267" s="10"/>
      <c r="O2267" s="3"/>
      <c r="P2267" s="10"/>
    </row>
    <row r="2268" spans="1:16" x14ac:dyDescent="0.15">
      <c r="A2268" s="10"/>
      <c r="B2268" s="3"/>
      <c r="C2268" s="10"/>
      <c r="D2268" s="10"/>
      <c r="E2268" s="10"/>
      <c r="F2268" s="10"/>
      <c r="G2268" s="10"/>
      <c r="H2268" s="10"/>
      <c r="I2268" s="10"/>
      <c r="J2268" s="10"/>
      <c r="K2268" s="10"/>
      <c r="L2268" s="10"/>
      <c r="M2268" s="10"/>
      <c r="N2268" s="10"/>
      <c r="O2268" s="3"/>
      <c r="P2268" s="10"/>
    </row>
    <row r="2269" spans="1:16" x14ac:dyDescent="0.15">
      <c r="A2269" s="10"/>
      <c r="B2269" s="3"/>
      <c r="C2269" s="10"/>
      <c r="D2269" s="10"/>
      <c r="E2269" s="10"/>
      <c r="F2269" s="10"/>
      <c r="G2269" s="10"/>
      <c r="H2269" s="10"/>
      <c r="I2269" s="10"/>
      <c r="J2269" s="10"/>
      <c r="K2269" s="10"/>
      <c r="L2269" s="10"/>
      <c r="M2269" s="10"/>
      <c r="N2269" s="10"/>
      <c r="O2269" s="3"/>
      <c r="P2269" s="10"/>
    </row>
    <row r="2270" spans="1:16" x14ac:dyDescent="0.15">
      <c r="A2270" s="10"/>
      <c r="B2270" s="3"/>
      <c r="C2270" s="10"/>
      <c r="D2270" s="10"/>
      <c r="E2270" s="10"/>
      <c r="F2270" s="10"/>
      <c r="G2270" s="10"/>
      <c r="H2270" s="10"/>
      <c r="I2270" s="10"/>
      <c r="J2270" s="10"/>
      <c r="K2270" s="10"/>
      <c r="L2270" s="10"/>
      <c r="M2270" s="10"/>
      <c r="N2270" s="10"/>
      <c r="O2270" s="3"/>
      <c r="P2270" s="10"/>
    </row>
    <row r="2271" spans="1:16" x14ac:dyDescent="0.15">
      <c r="A2271" s="10"/>
      <c r="B2271" s="3"/>
      <c r="C2271" s="10"/>
      <c r="D2271" s="10"/>
      <c r="E2271" s="10"/>
      <c r="F2271" s="10"/>
      <c r="G2271" s="10"/>
      <c r="H2271" s="10"/>
      <c r="I2271" s="10"/>
      <c r="J2271" s="10"/>
      <c r="K2271" s="10"/>
      <c r="L2271" s="10"/>
      <c r="M2271" s="10"/>
      <c r="N2271" s="10"/>
      <c r="O2271" s="3"/>
      <c r="P2271" s="10"/>
    </row>
    <row r="2272" spans="1:16" x14ac:dyDescent="0.15">
      <c r="A2272" s="10"/>
      <c r="B2272" s="3"/>
      <c r="C2272" s="10"/>
      <c r="D2272" s="10"/>
      <c r="E2272" s="10"/>
      <c r="F2272" s="10"/>
      <c r="G2272" s="10"/>
      <c r="H2272" s="10"/>
      <c r="I2272" s="10"/>
      <c r="J2272" s="10"/>
      <c r="K2272" s="10"/>
      <c r="L2272" s="10"/>
      <c r="M2272" s="10"/>
      <c r="N2272" s="10"/>
      <c r="O2272" s="3"/>
      <c r="P2272" s="10"/>
    </row>
    <row r="2273" spans="1:16" x14ac:dyDescent="0.15">
      <c r="A2273" s="10"/>
      <c r="B2273" s="3"/>
      <c r="C2273" s="10"/>
      <c r="D2273" s="10"/>
      <c r="E2273" s="10"/>
      <c r="F2273" s="10"/>
      <c r="G2273" s="10"/>
      <c r="H2273" s="10"/>
      <c r="I2273" s="10"/>
      <c r="J2273" s="10"/>
      <c r="K2273" s="10"/>
      <c r="L2273" s="10"/>
      <c r="M2273" s="10"/>
      <c r="N2273" s="10"/>
      <c r="O2273" s="3"/>
      <c r="P2273" s="10"/>
    </row>
    <row r="2274" spans="1:16" x14ac:dyDescent="0.15">
      <c r="A2274" s="10"/>
      <c r="B2274" s="3"/>
      <c r="C2274" s="10"/>
      <c r="D2274" s="10"/>
      <c r="E2274" s="10"/>
      <c r="F2274" s="10"/>
      <c r="G2274" s="10"/>
      <c r="H2274" s="10"/>
      <c r="I2274" s="10"/>
      <c r="J2274" s="10"/>
      <c r="K2274" s="10"/>
      <c r="L2274" s="10"/>
      <c r="M2274" s="10"/>
      <c r="N2274" s="10"/>
      <c r="O2274" s="3"/>
      <c r="P2274" s="10"/>
    </row>
    <row r="2275" spans="1:16" x14ac:dyDescent="0.15">
      <c r="A2275" s="10"/>
      <c r="B2275" s="3"/>
      <c r="C2275" s="10"/>
      <c r="D2275" s="10"/>
      <c r="E2275" s="10"/>
      <c r="F2275" s="10"/>
      <c r="G2275" s="10"/>
      <c r="H2275" s="10"/>
      <c r="I2275" s="10"/>
      <c r="J2275" s="10"/>
      <c r="K2275" s="10"/>
      <c r="L2275" s="10"/>
      <c r="M2275" s="10"/>
      <c r="N2275" s="10"/>
      <c r="O2275" s="3"/>
      <c r="P2275" s="10"/>
    </row>
    <row r="2276" spans="1:16" x14ac:dyDescent="0.15">
      <c r="A2276" s="10"/>
      <c r="B2276" s="3"/>
      <c r="C2276" s="10"/>
      <c r="D2276" s="10"/>
      <c r="E2276" s="10"/>
      <c r="F2276" s="10"/>
      <c r="G2276" s="10"/>
      <c r="H2276" s="10"/>
      <c r="I2276" s="10"/>
      <c r="J2276" s="10"/>
      <c r="K2276" s="10"/>
      <c r="L2276" s="10"/>
      <c r="M2276" s="10"/>
      <c r="N2276" s="10"/>
      <c r="O2276" s="3"/>
      <c r="P2276" s="10"/>
    </row>
    <row r="2277" spans="1:16" x14ac:dyDescent="0.15">
      <c r="A2277" s="10"/>
      <c r="B2277" s="3"/>
      <c r="C2277" s="10"/>
      <c r="D2277" s="10"/>
      <c r="E2277" s="10"/>
      <c r="F2277" s="10"/>
      <c r="G2277" s="10"/>
      <c r="H2277" s="10"/>
      <c r="I2277" s="10"/>
      <c r="J2277" s="10"/>
      <c r="K2277" s="10"/>
      <c r="L2277" s="10"/>
      <c r="M2277" s="10"/>
      <c r="N2277" s="10"/>
      <c r="O2277" s="3"/>
      <c r="P2277" s="10"/>
    </row>
    <row r="2278" spans="1:16" x14ac:dyDescent="0.15">
      <c r="A2278" s="10"/>
      <c r="B2278" s="3"/>
      <c r="C2278" s="10"/>
      <c r="D2278" s="10"/>
      <c r="E2278" s="10"/>
      <c r="F2278" s="10"/>
      <c r="G2278" s="10"/>
      <c r="H2278" s="10"/>
      <c r="I2278" s="10"/>
      <c r="J2278" s="10"/>
      <c r="K2278" s="10"/>
      <c r="L2278" s="10"/>
      <c r="M2278" s="10"/>
      <c r="N2278" s="10"/>
      <c r="O2278" s="3"/>
      <c r="P2278" s="10"/>
    </row>
    <row r="2279" spans="1:16" x14ac:dyDescent="0.15">
      <c r="A2279" s="10"/>
      <c r="B2279" s="3"/>
      <c r="C2279" s="10"/>
      <c r="D2279" s="10"/>
      <c r="E2279" s="10"/>
      <c r="F2279" s="10"/>
      <c r="G2279" s="10"/>
      <c r="H2279" s="10"/>
      <c r="I2279" s="10"/>
      <c r="J2279" s="10"/>
      <c r="K2279" s="10"/>
      <c r="L2279" s="10"/>
      <c r="M2279" s="10"/>
      <c r="N2279" s="10"/>
      <c r="O2279" s="3"/>
      <c r="P2279" s="10"/>
    </row>
    <row r="2280" spans="1:16" x14ac:dyDescent="0.15">
      <c r="A2280" s="10"/>
      <c r="B2280" s="3"/>
      <c r="C2280" s="10"/>
      <c r="D2280" s="10"/>
      <c r="E2280" s="10"/>
      <c r="F2280" s="10"/>
      <c r="G2280" s="10"/>
      <c r="H2280" s="10"/>
      <c r="I2280" s="10"/>
      <c r="J2280" s="10"/>
      <c r="K2280" s="10"/>
      <c r="L2280" s="10"/>
      <c r="M2280" s="10"/>
      <c r="N2280" s="10"/>
      <c r="O2280" s="3"/>
      <c r="P2280" s="10"/>
    </row>
    <row r="2281" spans="1:16" x14ac:dyDescent="0.15">
      <c r="A2281" s="10"/>
      <c r="B2281" s="3"/>
      <c r="C2281" s="10"/>
      <c r="D2281" s="10"/>
      <c r="E2281" s="10"/>
      <c r="F2281" s="10"/>
      <c r="G2281" s="10"/>
      <c r="H2281" s="10"/>
      <c r="I2281" s="10"/>
      <c r="J2281" s="10"/>
      <c r="K2281" s="10"/>
      <c r="L2281" s="10"/>
      <c r="M2281" s="10"/>
      <c r="N2281" s="10"/>
      <c r="O2281" s="3"/>
      <c r="P2281" s="10"/>
    </row>
    <row r="2282" spans="1:16" x14ac:dyDescent="0.15">
      <c r="A2282" s="10"/>
      <c r="B2282" s="3"/>
      <c r="C2282" s="10"/>
      <c r="D2282" s="10"/>
      <c r="E2282" s="10"/>
      <c r="F2282" s="10"/>
      <c r="G2282" s="10"/>
      <c r="H2282" s="10"/>
      <c r="I2282" s="10"/>
      <c r="J2282" s="10"/>
      <c r="K2282" s="10"/>
      <c r="L2282" s="10"/>
      <c r="M2282" s="10"/>
      <c r="N2282" s="10"/>
      <c r="O2282" s="3"/>
      <c r="P2282" s="10"/>
    </row>
    <row r="2283" spans="1:16" x14ac:dyDescent="0.15">
      <c r="A2283" s="10"/>
      <c r="B2283" s="3"/>
      <c r="C2283" s="10"/>
      <c r="D2283" s="10"/>
      <c r="E2283" s="10"/>
      <c r="F2283" s="10"/>
      <c r="G2283" s="10"/>
      <c r="H2283" s="10"/>
      <c r="I2283" s="10"/>
      <c r="J2283" s="10"/>
      <c r="K2283" s="10"/>
      <c r="L2283" s="10"/>
      <c r="M2283" s="10"/>
      <c r="N2283" s="10"/>
      <c r="O2283" s="3"/>
      <c r="P2283" s="10"/>
    </row>
    <row r="2284" spans="1:16" x14ac:dyDescent="0.15">
      <c r="A2284" s="10"/>
      <c r="B2284" s="3"/>
      <c r="C2284" s="10"/>
      <c r="D2284" s="10"/>
      <c r="E2284" s="10"/>
      <c r="F2284" s="10"/>
      <c r="G2284" s="10"/>
      <c r="H2284" s="10"/>
      <c r="I2284" s="10"/>
      <c r="J2284" s="10"/>
      <c r="K2284" s="10"/>
      <c r="L2284" s="10"/>
      <c r="M2284" s="10"/>
      <c r="N2284" s="10"/>
      <c r="O2284" s="3"/>
      <c r="P2284" s="10"/>
    </row>
    <row r="2285" spans="1:16" x14ac:dyDescent="0.15">
      <c r="A2285" s="10"/>
      <c r="B2285" s="3"/>
      <c r="C2285" s="10"/>
      <c r="D2285" s="10"/>
      <c r="E2285" s="10"/>
      <c r="F2285" s="10"/>
      <c r="G2285" s="10"/>
      <c r="H2285" s="10"/>
      <c r="I2285" s="10"/>
      <c r="J2285" s="10"/>
      <c r="K2285" s="10"/>
      <c r="L2285" s="10"/>
      <c r="M2285" s="10"/>
      <c r="N2285" s="10"/>
      <c r="O2285" s="3"/>
      <c r="P2285" s="10"/>
    </row>
    <row r="2286" spans="1:16" x14ac:dyDescent="0.15">
      <c r="A2286" s="10"/>
      <c r="B2286" s="3"/>
      <c r="C2286" s="10"/>
      <c r="D2286" s="10"/>
      <c r="E2286" s="10"/>
      <c r="F2286" s="10"/>
      <c r="G2286" s="10"/>
      <c r="H2286" s="10"/>
      <c r="I2286" s="10"/>
      <c r="J2286" s="10"/>
      <c r="K2286" s="10"/>
      <c r="L2286" s="10"/>
      <c r="M2286" s="10"/>
      <c r="N2286" s="10"/>
      <c r="O2286" s="3"/>
      <c r="P2286" s="10"/>
    </row>
    <row r="2287" spans="1:16" x14ac:dyDescent="0.15">
      <c r="A2287" s="10"/>
      <c r="B2287" s="3"/>
      <c r="C2287" s="10"/>
      <c r="D2287" s="10"/>
      <c r="E2287" s="10"/>
      <c r="F2287" s="10"/>
      <c r="G2287" s="10"/>
      <c r="H2287" s="10"/>
      <c r="I2287" s="10"/>
      <c r="J2287" s="10"/>
      <c r="K2287" s="10"/>
      <c r="L2287" s="10"/>
      <c r="M2287" s="10"/>
      <c r="N2287" s="10"/>
      <c r="O2287" s="3"/>
      <c r="P2287" s="10"/>
    </row>
    <row r="2288" spans="1:16" x14ac:dyDescent="0.15">
      <c r="A2288" s="10"/>
      <c r="B2288" s="3"/>
      <c r="C2288" s="10"/>
      <c r="D2288" s="10"/>
      <c r="E2288" s="10"/>
      <c r="F2288" s="10"/>
      <c r="G2288" s="10"/>
      <c r="H2288" s="10"/>
      <c r="I2288" s="10"/>
      <c r="J2288" s="10"/>
      <c r="K2288" s="10"/>
      <c r="L2288" s="10"/>
      <c r="M2288" s="10"/>
      <c r="N2288" s="10"/>
      <c r="O2288" s="3"/>
      <c r="P2288" s="10"/>
    </row>
    <row r="2289" spans="1:16" x14ac:dyDescent="0.15">
      <c r="A2289" s="10"/>
      <c r="B2289" s="3"/>
      <c r="C2289" s="10"/>
      <c r="D2289" s="10"/>
      <c r="E2289" s="10"/>
      <c r="F2289" s="10"/>
      <c r="G2289" s="10"/>
      <c r="H2289" s="10"/>
      <c r="I2289" s="10"/>
      <c r="J2289" s="10"/>
      <c r="K2289" s="10"/>
      <c r="L2289" s="10"/>
      <c r="M2289" s="10"/>
      <c r="N2289" s="10"/>
      <c r="O2289" s="3"/>
      <c r="P2289" s="10"/>
    </row>
    <row r="2290" spans="1:16" x14ac:dyDescent="0.15">
      <c r="A2290" s="10"/>
      <c r="B2290" s="3"/>
      <c r="C2290" s="10"/>
      <c r="D2290" s="10"/>
      <c r="E2290" s="10"/>
      <c r="F2290" s="10"/>
      <c r="G2290" s="10"/>
      <c r="H2290" s="10"/>
      <c r="I2290" s="10"/>
      <c r="J2290" s="10"/>
      <c r="K2290" s="10"/>
      <c r="L2290" s="10"/>
      <c r="M2290" s="10"/>
      <c r="N2290" s="10"/>
      <c r="O2290" s="3"/>
      <c r="P2290" s="10"/>
    </row>
    <row r="2291" spans="1:16" x14ac:dyDescent="0.15">
      <c r="A2291" s="10"/>
      <c r="B2291" s="3"/>
      <c r="C2291" s="10"/>
      <c r="D2291" s="10"/>
      <c r="E2291" s="10"/>
      <c r="F2291" s="10"/>
      <c r="G2291" s="10"/>
      <c r="H2291" s="10"/>
      <c r="I2291" s="10"/>
      <c r="J2291" s="10"/>
      <c r="K2291" s="10"/>
      <c r="L2291" s="10"/>
      <c r="M2291" s="10"/>
      <c r="N2291" s="10"/>
      <c r="O2291" s="3"/>
      <c r="P2291" s="10"/>
    </row>
    <row r="2292" spans="1:16" x14ac:dyDescent="0.15">
      <c r="A2292" s="10"/>
      <c r="B2292" s="3"/>
      <c r="C2292" s="10"/>
      <c r="D2292" s="10"/>
      <c r="E2292" s="10"/>
      <c r="F2292" s="10"/>
      <c r="G2292" s="10"/>
      <c r="H2292" s="10"/>
      <c r="I2292" s="10"/>
      <c r="J2292" s="10"/>
      <c r="K2292" s="10"/>
      <c r="L2292" s="10"/>
      <c r="M2292" s="10"/>
      <c r="N2292" s="10"/>
      <c r="O2292" s="3"/>
      <c r="P2292" s="10"/>
    </row>
    <row r="2293" spans="1:16" x14ac:dyDescent="0.15">
      <c r="A2293" s="10"/>
      <c r="B2293" s="3"/>
      <c r="C2293" s="10"/>
      <c r="D2293" s="10"/>
      <c r="E2293" s="10"/>
      <c r="F2293" s="10"/>
      <c r="G2293" s="10"/>
      <c r="H2293" s="10"/>
      <c r="I2293" s="10"/>
      <c r="J2293" s="10"/>
      <c r="K2293" s="10"/>
      <c r="L2293" s="10"/>
      <c r="M2293" s="10"/>
      <c r="N2293" s="10"/>
      <c r="O2293" s="3"/>
      <c r="P2293" s="10"/>
    </row>
    <row r="2294" spans="1:16" x14ac:dyDescent="0.15">
      <c r="A2294" s="10"/>
      <c r="B2294" s="3"/>
      <c r="C2294" s="10"/>
      <c r="D2294" s="10"/>
      <c r="E2294" s="10"/>
      <c r="F2294" s="10"/>
      <c r="G2294" s="10"/>
      <c r="H2294" s="10"/>
      <c r="I2294" s="10"/>
      <c r="J2294" s="10"/>
      <c r="K2294" s="10"/>
      <c r="L2294" s="10"/>
      <c r="M2294" s="10"/>
      <c r="N2294" s="10"/>
      <c r="O2294" s="3"/>
      <c r="P2294" s="10"/>
    </row>
    <row r="2295" spans="1:16" x14ac:dyDescent="0.15">
      <c r="A2295" s="10"/>
      <c r="B2295" s="3"/>
      <c r="C2295" s="10"/>
      <c r="D2295" s="10"/>
      <c r="E2295" s="10"/>
      <c r="F2295" s="10"/>
      <c r="G2295" s="10"/>
      <c r="H2295" s="10"/>
      <c r="I2295" s="10"/>
      <c r="J2295" s="10"/>
      <c r="K2295" s="10"/>
      <c r="L2295" s="10"/>
      <c r="M2295" s="10"/>
      <c r="N2295" s="10"/>
      <c r="O2295" s="3"/>
      <c r="P2295" s="10"/>
    </row>
    <row r="2296" spans="1:16" x14ac:dyDescent="0.15">
      <c r="A2296" s="10"/>
      <c r="B2296" s="3"/>
      <c r="C2296" s="10"/>
      <c r="D2296" s="10"/>
      <c r="E2296" s="10"/>
      <c r="F2296" s="10"/>
      <c r="G2296" s="10"/>
      <c r="H2296" s="10"/>
      <c r="I2296" s="10"/>
      <c r="J2296" s="10"/>
      <c r="K2296" s="10"/>
      <c r="L2296" s="10"/>
      <c r="M2296" s="10"/>
      <c r="N2296" s="10"/>
      <c r="O2296" s="3"/>
      <c r="P2296" s="10"/>
    </row>
    <row r="2297" spans="1:16" x14ac:dyDescent="0.15">
      <c r="A2297" s="10"/>
      <c r="B2297" s="3"/>
      <c r="C2297" s="10"/>
      <c r="D2297" s="10"/>
      <c r="E2297" s="10"/>
      <c r="F2297" s="10"/>
      <c r="G2297" s="10"/>
      <c r="H2297" s="10"/>
      <c r="I2297" s="10"/>
      <c r="J2297" s="10"/>
      <c r="K2297" s="10"/>
      <c r="L2297" s="10"/>
      <c r="M2297" s="10"/>
      <c r="N2297" s="10"/>
      <c r="O2297" s="3"/>
      <c r="P2297" s="10"/>
    </row>
    <row r="2298" spans="1:16" x14ac:dyDescent="0.15">
      <c r="A2298" s="10"/>
      <c r="B2298" s="3"/>
      <c r="C2298" s="10"/>
      <c r="D2298" s="10"/>
      <c r="E2298" s="10"/>
      <c r="F2298" s="10"/>
      <c r="G2298" s="10"/>
      <c r="H2298" s="10"/>
      <c r="I2298" s="10"/>
      <c r="J2298" s="10"/>
      <c r="K2298" s="10"/>
      <c r="L2298" s="10"/>
      <c r="M2298" s="10"/>
      <c r="N2298" s="10"/>
      <c r="O2298" s="3"/>
      <c r="P2298" s="10"/>
    </row>
    <row r="2299" spans="1:16" x14ac:dyDescent="0.15">
      <c r="A2299" s="10"/>
      <c r="B2299" s="3"/>
      <c r="C2299" s="10"/>
      <c r="D2299" s="10"/>
      <c r="E2299" s="10"/>
      <c r="F2299" s="10"/>
      <c r="G2299" s="10"/>
      <c r="H2299" s="10"/>
      <c r="I2299" s="10"/>
      <c r="J2299" s="10"/>
      <c r="K2299" s="10"/>
      <c r="L2299" s="10"/>
      <c r="M2299" s="10"/>
      <c r="N2299" s="10"/>
      <c r="O2299" s="3"/>
      <c r="P2299" s="10"/>
    </row>
    <row r="2300" spans="1:16" x14ac:dyDescent="0.15">
      <c r="A2300" s="10"/>
      <c r="B2300" s="3"/>
      <c r="C2300" s="10"/>
      <c r="D2300" s="10"/>
      <c r="E2300" s="10"/>
      <c r="F2300" s="10"/>
      <c r="G2300" s="10"/>
      <c r="H2300" s="10"/>
      <c r="I2300" s="10"/>
      <c r="J2300" s="10"/>
      <c r="K2300" s="10"/>
      <c r="L2300" s="10"/>
      <c r="M2300" s="10"/>
      <c r="N2300" s="10"/>
      <c r="O2300" s="3"/>
      <c r="P2300" s="10"/>
    </row>
    <row r="2301" spans="1:16" x14ac:dyDescent="0.15">
      <c r="A2301" s="10"/>
      <c r="B2301" s="3"/>
      <c r="C2301" s="10"/>
      <c r="D2301" s="10"/>
      <c r="E2301" s="10"/>
      <c r="F2301" s="10"/>
      <c r="G2301" s="10"/>
      <c r="H2301" s="10"/>
      <c r="I2301" s="10"/>
      <c r="J2301" s="10"/>
      <c r="K2301" s="10"/>
      <c r="L2301" s="10"/>
      <c r="M2301" s="10"/>
      <c r="N2301" s="10"/>
      <c r="O2301" s="3"/>
      <c r="P2301" s="10"/>
    </row>
    <row r="2302" spans="1:16" x14ac:dyDescent="0.15">
      <c r="A2302" s="10"/>
      <c r="B2302" s="3"/>
      <c r="C2302" s="10"/>
      <c r="D2302" s="10"/>
      <c r="E2302" s="10"/>
      <c r="F2302" s="10"/>
      <c r="G2302" s="10"/>
      <c r="H2302" s="10"/>
      <c r="I2302" s="10"/>
      <c r="J2302" s="10"/>
      <c r="K2302" s="10"/>
      <c r="L2302" s="10"/>
      <c r="M2302" s="10"/>
      <c r="N2302" s="10"/>
      <c r="O2302" s="3"/>
      <c r="P2302" s="10"/>
    </row>
    <row r="2303" spans="1:16" x14ac:dyDescent="0.15">
      <c r="A2303" s="10"/>
      <c r="B2303" s="3"/>
      <c r="C2303" s="10"/>
      <c r="D2303" s="10"/>
      <c r="E2303" s="10"/>
      <c r="F2303" s="10"/>
      <c r="G2303" s="10"/>
      <c r="H2303" s="10"/>
      <c r="I2303" s="10"/>
      <c r="J2303" s="10"/>
      <c r="K2303" s="10"/>
      <c r="L2303" s="10"/>
      <c r="M2303" s="10"/>
      <c r="N2303" s="10"/>
      <c r="O2303" s="3"/>
      <c r="P2303" s="10"/>
    </row>
    <row r="2304" spans="1:16" x14ac:dyDescent="0.15">
      <c r="A2304" s="10"/>
      <c r="B2304" s="3"/>
      <c r="C2304" s="10"/>
      <c r="D2304" s="10"/>
      <c r="E2304" s="10"/>
      <c r="F2304" s="10"/>
      <c r="G2304" s="10"/>
      <c r="H2304" s="10"/>
      <c r="I2304" s="10"/>
      <c r="J2304" s="10"/>
      <c r="K2304" s="10"/>
      <c r="L2304" s="10"/>
      <c r="M2304" s="10"/>
      <c r="N2304" s="10"/>
      <c r="O2304" s="3"/>
      <c r="P2304" s="10"/>
    </row>
    <row r="2305" spans="1:16" x14ac:dyDescent="0.15">
      <c r="A2305" s="10"/>
      <c r="B2305" s="3"/>
      <c r="C2305" s="10"/>
      <c r="D2305" s="10"/>
      <c r="E2305" s="10"/>
      <c r="F2305" s="10"/>
      <c r="G2305" s="10"/>
      <c r="H2305" s="10"/>
      <c r="I2305" s="10"/>
      <c r="J2305" s="10"/>
      <c r="K2305" s="10"/>
      <c r="L2305" s="10"/>
      <c r="M2305" s="10"/>
      <c r="N2305" s="10"/>
      <c r="O2305" s="3"/>
      <c r="P2305" s="10"/>
    </row>
    <row r="2306" spans="1:16" x14ac:dyDescent="0.15">
      <c r="A2306" s="10"/>
      <c r="B2306" s="3"/>
      <c r="C2306" s="10"/>
      <c r="D2306" s="10"/>
      <c r="E2306" s="10"/>
      <c r="F2306" s="10"/>
      <c r="G2306" s="10"/>
      <c r="H2306" s="10"/>
      <c r="I2306" s="10"/>
      <c r="J2306" s="10"/>
      <c r="K2306" s="10"/>
      <c r="L2306" s="10"/>
      <c r="M2306" s="10"/>
      <c r="N2306" s="10"/>
      <c r="O2306" s="3"/>
      <c r="P2306" s="10"/>
    </row>
    <row r="2307" spans="1:16" x14ac:dyDescent="0.15">
      <c r="A2307" s="10"/>
      <c r="B2307" s="3"/>
      <c r="C2307" s="10"/>
      <c r="D2307" s="10"/>
      <c r="E2307" s="10"/>
      <c r="F2307" s="10"/>
      <c r="G2307" s="10"/>
      <c r="H2307" s="10"/>
      <c r="I2307" s="10"/>
      <c r="J2307" s="10"/>
      <c r="K2307" s="10"/>
      <c r="L2307" s="10"/>
      <c r="M2307" s="10"/>
      <c r="N2307" s="10"/>
      <c r="O2307" s="3"/>
      <c r="P2307" s="10"/>
    </row>
    <row r="2308" spans="1:16" x14ac:dyDescent="0.15">
      <c r="A2308" s="10"/>
      <c r="B2308" s="3"/>
      <c r="C2308" s="10"/>
      <c r="D2308" s="10"/>
      <c r="E2308" s="10"/>
      <c r="F2308" s="10"/>
      <c r="G2308" s="10"/>
      <c r="H2308" s="10"/>
      <c r="I2308" s="10"/>
      <c r="J2308" s="10"/>
      <c r="K2308" s="10"/>
      <c r="L2308" s="10"/>
      <c r="M2308" s="10"/>
      <c r="N2308" s="10"/>
      <c r="O2308" s="3"/>
      <c r="P2308" s="10"/>
    </row>
    <row r="2309" spans="1:16" x14ac:dyDescent="0.15">
      <c r="A2309" s="10"/>
      <c r="B2309" s="3"/>
      <c r="C2309" s="10"/>
      <c r="D2309" s="10"/>
      <c r="E2309" s="10"/>
      <c r="F2309" s="10"/>
      <c r="G2309" s="10"/>
      <c r="H2309" s="10"/>
      <c r="I2309" s="10"/>
      <c r="J2309" s="10"/>
      <c r="K2309" s="10"/>
      <c r="L2309" s="10"/>
      <c r="M2309" s="10"/>
      <c r="N2309" s="10"/>
      <c r="O2309" s="3"/>
      <c r="P2309" s="10"/>
    </row>
    <row r="2310" spans="1:16" x14ac:dyDescent="0.15">
      <c r="A2310" s="10"/>
      <c r="B2310" s="3"/>
      <c r="C2310" s="10"/>
      <c r="D2310" s="10"/>
      <c r="E2310" s="10"/>
      <c r="F2310" s="10"/>
      <c r="G2310" s="10"/>
      <c r="H2310" s="10"/>
      <c r="I2310" s="10"/>
      <c r="J2310" s="10"/>
      <c r="K2310" s="10"/>
      <c r="L2310" s="10"/>
      <c r="M2310" s="10"/>
      <c r="N2310" s="10"/>
      <c r="O2310" s="3"/>
      <c r="P2310" s="10"/>
    </row>
    <row r="2311" spans="1:16" x14ac:dyDescent="0.15">
      <c r="A2311" s="10"/>
      <c r="B2311" s="3"/>
      <c r="C2311" s="10"/>
      <c r="D2311" s="10"/>
      <c r="E2311" s="10"/>
      <c r="F2311" s="10"/>
      <c r="G2311" s="10"/>
      <c r="H2311" s="10"/>
      <c r="I2311" s="10"/>
      <c r="J2311" s="10"/>
      <c r="K2311" s="10"/>
      <c r="L2311" s="10"/>
      <c r="M2311" s="10"/>
      <c r="N2311" s="10"/>
      <c r="O2311" s="3"/>
      <c r="P2311" s="10"/>
    </row>
    <row r="2312" spans="1:16" x14ac:dyDescent="0.15">
      <c r="A2312" s="10"/>
      <c r="B2312" s="3"/>
      <c r="C2312" s="10"/>
      <c r="D2312" s="10"/>
      <c r="E2312" s="10"/>
      <c r="F2312" s="10"/>
      <c r="G2312" s="10"/>
      <c r="H2312" s="10"/>
      <c r="I2312" s="10"/>
      <c r="J2312" s="10"/>
      <c r="K2312" s="10"/>
      <c r="L2312" s="10"/>
      <c r="M2312" s="10"/>
      <c r="N2312" s="10"/>
      <c r="O2312" s="3"/>
      <c r="P2312" s="10"/>
    </row>
    <row r="2313" spans="1:16" x14ac:dyDescent="0.15">
      <c r="A2313" s="10"/>
      <c r="B2313" s="3"/>
      <c r="C2313" s="10"/>
      <c r="D2313" s="10"/>
      <c r="E2313" s="10"/>
      <c r="F2313" s="10"/>
      <c r="G2313" s="10"/>
      <c r="H2313" s="10"/>
      <c r="I2313" s="10"/>
      <c r="J2313" s="10"/>
      <c r="K2313" s="10"/>
      <c r="L2313" s="10"/>
      <c r="M2313" s="10"/>
      <c r="N2313" s="10"/>
      <c r="O2313" s="3"/>
      <c r="P2313" s="10"/>
    </row>
    <row r="2314" spans="1:16" x14ac:dyDescent="0.15">
      <c r="A2314" s="10"/>
      <c r="B2314" s="3"/>
      <c r="C2314" s="10"/>
      <c r="D2314" s="10"/>
      <c r="E2314" s="10"/>
      <c r="F2314" s="10"/>
      <c r="G2314" s="10"/>
      <c r="H2314" s="10"/>
      <c r="I2314" s="10"/>
      <c r="J2314" s="10"/>
      <c r="K2314" s="10"/>
      <c r="L2314" s="10"/>
      <c r="M2314" s="10"/>
      <c r="N2314" s="10"/>
      <c r="O2314" s="3"/>
      <c r="P2314" s="10"/>
    </row>
    <row r="2315" spans="1:16" x14ac:dyDescent="0.15">
      <c r="A2315" s="10"/>
      <c r="B2315" s="3"/>
      <c r="C2315" s="10"/>
      <c r="D2315" s="10"/>
      <c r="E2315" s="10"/>
      <c r="F2315" s="10"/>
      <c r="G2315" s="10"/>
      <c r="H2315" s="10"/>
      <c r="I2315" s="10"/>
      <c r="J2315" s="10"/>
      <c r="K2315" s="10"/>
      <c r="L2315" s="10"/>
      <c r="M2315" s="10"/>
      <c r="N2315" s="10"/>
      <c r="O2315" s="3"/>
      <c r="P2315" s="10"/>
    </row>
    <row r="2316" spans="1:16" x14ac:dyDescent="0.15">
      <c r="A2316" s="10"/>
      <c r="B2316" s="3"/>
      <c r="C2316" s="10"/>
      <c r="D2316" s="10"/>
      <c r="E2316" s="10"/>
      <c r="F2316" s="10"/>
      <c r="G2316" s="10"/>
      <c r="H2316" s="10"/>
      <c r="I2316" s="10"/>
      <c r="J2316" s="10"/>
      <c r="K2316" s="10"/>
      <c r="L2316" s="10"/>
      <c r="M2316" s="10"/>
      <c r="N2316" s="10"/>
      <c r="O2316" s="3"/>
      <c r="P2316" s="10"/>
    </row>
    <row r="2317" spans="1:16" x14ac:dyDescent="0.15">
      <c r="A2317" s="10"/>
      <c r="B2317" s="3"/>
      <c r="C2317" s="10"/>
      <c r="D2317" s="10"/>
      <c r="E2317" s="10"/>
      <c r="F2317" s="10"/>
      <c r="G2317" s="10"/>
      <c r="H2317" s="10"/>
      <c r="I2317" s="10"/>
      <c r="J2317" s="10"/>
      <c r="K2317" s="10"/>
      <c r="L2317" s="10"/>
      <c r="M2317" s="10"/>
      <c r="N2317" s="10"/>
      <c r="O2317" s="3"/>
      <c r="P2317" s="10"/>
    </row>
    <row r="2318" spans="1:16" x14ac:dyDescent="0.15">
      <c r="A2318" s="10"/>
      <c r="B2318" s="3"/>
      <c r="C2318" s="10"/>
      <c r="D2318" s="10"/>
      <c r="E2318" s="10"/>
      <c r="F2318" s="10"/>
      <c r="G2318" s="10"/>
      <c r="H2318" s="10"/>
      <c r="I2318" s="10"/>
      <c r="J2318" s="10"/>
      <c r="K2318" s="10"/>
      <c r="L2318" s="10"/>
      <c r="M2318" s="10"/>
      <c r="N2318" s="10"/>
      <c r="O2318" s="3"/>
      <c r="P2318" s="10"/>
    </row>
    <row r="2319" spans="1:16" x14ac:dyDescent="0.15">
      <c r="A2319" s="10"/>
      <c r="B2319" s="3"/>
      <c r="C2319" s="10"/>
      <c r="D2319" s="10"/>
      <c r="E2319" s="10"/>
      <c r="F2319" s="10"/>
      <c r="G2319" s="10"/>
      <c r="H2319" s="10"/>
      <c r="I2319" s="10"/>
      <c r="J2319" s="10"/>
      <c r="K2319" s="10"/>
      <c r="L2319" s="10"/>
      <c r="M2319" s="10"/>
      <c r="N2319" s="10"/>
      <c r="O2319" s="3"/>
      <c r="P2319" s="10"/>
    </row>
    <row r="2320" spans="1:16" x14ac:dyDescent="0.15">
      <c r="A2320" s="10"/>
      <c r="B2320" s="3"/>
      <c r="C2320" s="10"/>
      <c r="D2320" s="10"/>
      <c r="E2320" s="10"/>
      <c r="F2320" s="10"/>
      <c r="G2320" s="10"/>
      <c r="H2320" s="10"/>
      <c r="I2320" s="10"/>
      <c r="J2320" s="10"/>
      <c r="K2320" s="10"/>
      <c r="L2320" s="10"/>
      <c r="M2320" s="10"/>
      <c r="N2320" s="10"/>
      <c r="O2320" s="3"/>
      <c r="P2320" s="10"/>
    </row>
    <row r="2321" spans="1:16" x14ac:dyDescent="0.15">
      <c r="A2321" s="10"/>
      <c r="B2321" s="3"/>
      <c r="C2321" s="10"/>
      <c r="D2321" s="10"/>
      <c r="E2321" s="10"/>
      <c r="F2321" s="10"/>
      <c r="G2321" s="10"/>
      <c r="H2321" s="10"/>
      <c r="I2321" s="10"/>
      <c r="J2321" s="10"/>
      <c r="K2321" s="10"/>
      <c r="L2321" s="10"/>
      <c r="M2321" s="10"/>
      <c r="N2321" s="10"/>
      <c r="O2321" s="3"/>
      <c r="P2321" s="10"/>
    </row>
    <row r="2322" spans="1:16" x14ac:dyDescent="0.15">
      <c r="A2322" s="10"/>
      <c r="B2322" s="3"/>
      <c r="C2322" s="10"/>
      <c r="D2322" s="10"/>
      <c r="E2322" s="10"/>
      <c r="F2322" s="10"/>
      <c r="G2322" s="10"/>
      <c r="H2322" s="10"/>
      <c r="I2322" s="10"/>
      <c r="J2322" s="10"/>
      <c r="K2322" s="10"/>
      <c r="L2322" s="10"/>
      <c r="M2322" s="10"/>
      <c r="N2322" s="10"/>
      <c r="O2322" s="3"/>
      <c r="P2322" s="10"/>
    </row>
    <row r="2323" spans="1:16" x14ac:dyDescent="0.15">
      <c r="A2323" s="10"/>
      <c r="B2323" s="3"/>
      <c r="C2323" s="10"/>
      <c r="D2323" s="10"/>
      <c r="E2323" s="10"/>
      <c r="F2323" s="10"/>
      <c r="G2323" s="10"/>
      <c r="H2323" s="10"/>
      <c r="I2323" s="10"/>
      <c r="J2323" s="10"/>
      <c r="K2323" s="10"/>
      <c r="L2323" s="10"/>
      <c r="M2323" s="10"/>
      <c r="N2323" s="10"/>
      <c r="O2323" s="3"/>
      <c r="P2323" s="10"/>
    </row>
    <row r="2324" spans="1:16" x14ac:dyDescent="0.15">
      <c r="A2324" s="10"/>
      <c r="B2324" s="3"/>
      <c r="C2324" s="10"/>
      <c r="D2324" s="10"/>
      <c r="E2324" s="10"/>
      <c r="F2324" s="10"/>
      <c r="G2324" s="10"/>
      <c r="H2324" s="10"/>
      <c r="I2324" s="10"/>
      <c r="J2324" s="10"/>
      <c r="K2324" s="10"/>
      <c r="L2324" s="10"/>
      <c r="M2324" s="10"/>
      <c r="N2324" s="10"/>
      <c r="O2324" s="3"/>
      <c r="P2324" s="10"/>
    </row>
    <row r="2325" spans="1:16" x14ac:dyDescent="0.15">
      <c r="A2325" s="10"/>
      <c r="B2325" s="3"/>
      <c r="C2325" s="10"/>
      <c r="D2325" s="10"/>
      <c r="E2325" s="10"/>
      <c r="F2325" s="10"/>
      <c r="G2325" s="10"/>
      <c r="H2325" s="10"/>
      <c r="I2325" s="10"/>
      <c r="J2325" s="10"/>
      <c r="K2325" s="10"/>
      <c r="L2325" s="10"/>
      <c r="M2325" s="10"/>
      <c r="N2325" s="10"/>
      <c r="O2325" s="3"/>
      <c r="P2325" s="10"/>
    </row>
    <row r="2326" spans="1:16" x14ac:dyDescent="0.15">
      <c r="A2326" s="10"/>
      <c r="B2326" s="3"/>
      <c r="C2326" s="10"/>
      <c r="D2326" s="10"/>
      <c r="E2326" s="10"/>
      <c r="F2326" s="10"/>
      <c r="G2326" s="10"/>
      <c r="H2326" s="10"/>
      <c r="I2326" s="10"/>
      <c r="J2326" s="10"/>
      <c r="K2326" s="10"/>
      <c r="L2326" s="10"/>
      <c r="M2326" s="10"/>
      <c r="N2326" s="10"/>
      <c r="O2326" s="3"/>
      <c r="P2326" s="10"/>
    </row>
    <row r="2327" spans="1:16" x14ac:dyDescent="0.15">
      <c r="A2327" s="10"/>
      <c r="B2327" s="3"/>
      <c r="C2327" s="10"/>
      <c r="D2327" s="10"/>
      <c r="E2327" s="10"/>
      <c r="F2327" s="10"/>
      <c r="G2327" s="10"/>
      <c r="H2327" s="10"/>
      <c r="I2327" s="10"/>
      <c r="J2327" s="10"/>
      <c r="K2327" s="10"/>
      <c r="L2327" s="10"/>
      <c r="M2327" s="10"/>
      <c r="N2327" s="10"/>
      <c r="O2327" s="3"/>
      <c r="P2327" s="10"/>
    </row>
    <row r="2328" spans="1:16" x14ac:dyDescent="0.15">
      <c r="A2328" s="10"/>
      <c r="B2328" s="3"/>
      <c r="C2328" s="10"/>
      <c r="D2328" s="10"/>
      <c r="E2328" s="10"/>
      <c r="F2328" s="10"/>
      <c r="G2328" s="10"/>
      <c r="H2328" s="10"/>
      <c r="I2328" s="10"/>
      <c r="J2328" s="10"/>
      <c r="K2328" s="10"/>
      <c r="L2328" s="10"/>
      <c r="M2328" s="10"/>
      <c r="N2328" s="10"/>
      <c r="O2328" s="3"/>
      <c r="P2328" s="10"/>
    </row>
    <row r="2329" spans="1:16" x14ac:dyDescent="0.15">
      <c r="A2329" s="10"/>
      <c r="B2329" s="3"/>
      <c r="C2329" s="10"/>
      <c r="D2329" s="10"/>
      <c r="E2329" s="10"/>
      <c r="F2329" s="10"/>
      <c r="G2329" s="10"/>
      <c r="H2329" s="10"/>
      <c r="I2329" s="10"/>
      <c r="J2329" s="10"/>
      <c r="K2329" s="10"/>
      <c r="L2329" s="10"/>
      <c r="M2329" s="10"/>
      <c r="N2329" s="10"/>
      <c r="O2329" s="3"/>
      <c r="P2329" s="10"/>
    </row>
    <row r="2330" spans="1:16" x14ac:dyDescent="0.15">
      <c r="A2330" s="10"/>
      <c r="B2330" s="3"/>
      <c r="C2330" s="10"/>
      <c r="D2330" s="10"/>
      <c r="E2330" s="10"/>
      <c r="F2330" s="10"/>
      <c r="G2330" s="10"/>
      <c r="H2330" s="10"/>
      <c r="I2330" s="10"/>
      <c r="J2330" s="10"/>
      <c r="K2330" s="10"/>
      <c r="L2330" s="10"/>
      <c r="M2330" s="10"/>
      <c r="N2330" s="10"/>
      <c r="O2330" s="3"/>
      <c r="P2330" s="10"/>
    </row>
    <row r="2331" spans="1:16" x14ac:dyDescent="0.15">
      <c r="A2331" s="10"/>
      <c r="B2331" s="3"/>
      <c r="C2331" s="10"/>
      <c r="D2331" s="10"/>
      <c r="E2331" s="10"/>
      <c r="F2331" s="10"/>
      <c r="G2331" s="10"/>
      <c r="H2331" s="10"/>
      <c r="I2331" s="10"/>
      <c r="J2331" s="10"/>
      <c r="K2331" s="10"/>
      <c r="L2331" s="10"/>
      <c r="M2331" s="10"/>
      <c r="N2331" s="10"/>
      <c r="O2331" s="3"/>
      <c r="P2331" s="10"/>
    </row>
    <row r="2332" spans="1:16" x14ac:dyDescent="0.15">
      <c r="A2332" s="10"/>
      <c r="B2332" s="3"/>
      <c r="C2332" s="10"/>
      <c r="D2332" s="10"/>
      <c r="E2332" s="10"/>
      <c r="F2332" s="10"/>
      <c r="G2332" s="10"/>
      <c r="H2332" s="10"/>
      <c r="I2332" s="10"/>
      <c r="J2332" s="10"/>
      <c r="K2332" s="10"/>
      <c r="L2332" s="10"/>
      <c r="M2332" s="10"/>
      <c r="N2332" s="10"/>
      <c r="O2332" s="3"/>
      <c r="P2332" s="10"/>
    </row>
    <row r="2333" spans="1:16" x14ac:dyDescent="0.15">
      <c r="A2333" s="10"/>
      <c r="B2333" s="3"/>
      <c r="C2333" s="10"/>
      <c r="D2333" s="10"/>
      <c r="E2333" s="10"/>
      <c r="F2333" s="10"/>
      <c r="G2333" s="10"/>
      <c r="H2333" s="10"/>
      <c r="I2333" s="10"/>
      <c r="J2333" s="10"/>
      <c r="K2333" s="10"/>
      <c r="L2333" s="10"/>
      <c r="M2333" s="10"/>
      <c r="N2333" s="10"/>
      <c r="O2333" s="3"/>
      <c r="P2333" s="10"/>
    </row>
    <row r="2334" spans="1:16" x14ac:dyDescent="0.15">
      <c r="A2334" s="10"/>
      <c r="B2334" s="3"/>
      <c r="C2334" s="10"/>
      <c r="D2334" s="10"/>
      <c r="E2334" s="10"/>
      <c r="F2334" s="10"/>
      <c r="G2334" s="10"/>
      <c r="H2334" s="10"/>
      <c r="I2334" s="10"/>
      <c r="J2334" s="10"/>
      <c r="K2334" s="10"/>
      <c r="L2334" s="10"/>
      <c r="M2334" s="10"/>
      <c r="N2334" s="10"/>
      <c r="O2334" s="3"/>
      <c r="P2334" s="10"/>
    </row>
    <row r="2335" spans="1:16" x14ac:dyDescent="0.15">
      <c r="A2335" s="10"/>
      <c r="B2335" s="3"/>
      <c r="C2335" s="10"/>
      <c r="D2335" s="10"/>
      <c r="E2335" s="10"/>
      <c r="F2335" s="10"/>
      <c r="G2335" s="10"/>
      <c r="H2335" s="10"/>
      <c r="I2335" s="10"/>
      <c r="J2335" s="10"/>
      <c r="K2335" s="10"/>
      <c r="L2335" s="10"/>
      <c r="M2335" s="10"/>
      <c r="N2335" s="10"/>
      <c r="O2335" s="3"/>
      <c r="P2335" s="10"/>
    </row>
    <row r="2336" spans="1:16" x14ac:dyDescent="0.15">
      <c r="A2336" s="10"/>
      <c r="B2336" s="3"/>
      <c r="C2336" s="10"/>
      <c r="D2336" s="10"/>
      <c r="E2336" s="10"/>
      <c r="F2336" s="10"/>
      <c r="G2336" s="10"/>
      <c r="H2336" s="10"/>
      <c r="I2336" s="10"/>
      <c r="J2336" s="10"/>
      <c r="K2336" s="10"/>
      <c r="L2336" s="10"/>
      <c r="M2336" s="10"/>
      <c r="N2336" s="10"/>
      <c r="O2336" s="3"/>
      <c r="P2336" s="10"/>
    </row>
    <row r="2337" spans="1:16" x14ac:dyDescent="0.15">
      <c r="A2337" s="10"/>
      <c r="B2337" s="3"/>
      <c r="C2337" s="10"/>
      <c r="D2337" s="10"/>
      <c r="E2337" s="10"/>
      <c r="F2337" s="10"/>
      <c r="G2337" s="10"/>
      <c r="H2337" s="10"/>
      <c r="I2337" s="10"/>
      <c r="J2337" s="10"/>
      <c r="K2337" s="10"/>
      <c r="L2337" s="10"/>
      <c r="M2337" s="10"/>
      <c r="N2337" s="10"/>
      <c r="O2337" s="3"/>
      <c r="P2337" s="10"/>
    </row>
    <row r="2338" spans="1:16" x14ac:dyDescent="0.15">
      <c r="A2338" s="10"/>
      <c r="B2338" s="3"/>
      <c r="C2338" s="10"/>
      <c r="D2338" s="10"/>
      <c r="E2338" s="10"/>
      <c r="F2338" s="10"/>
      <c r="G2338" s="10"/>
      <c r="H2338" s="10"/>
      <c r="I2338" s="10"/>
      <c r="J2338" s="10"/>
      <c r="K2338" s="10"/>
      <c r="L2338" s="10"/>
      <c r="M2338" s="10"/>
      <c r="N2338" s="10"/>
      <c r="O2338" s="3"/>
      <c r="P2338" s="10"/>
    </row>
    <row r="2339" spans="1:16" x14ac:dyDescent="0.15">
      <c r="A2339" s="10"/>
      <c r="B2339" s="3"/>
      <c r="C2339" s="10"/>
      <c r="D2339" s="10"/>
      <c r="E2339" s="10"/>
      <c r="F2339" s="10"/>
      <c r="G2339" s="10"/>
      <c r="H2339" s="10"/>
      <c r="I2339" s="10"/>
      <c r="J2339" s="10"/>
      <c r="K2339" s="10"/>
      <c r="L2339" s="10"/>
      <c r="M2339" s="10"/>
      <c r="N2339" s="10"/>
      <c r="O2339" s="3"/>
      <c r="P2339" s="10"/>
    </row>
    <row r="2340" spans="1:16" x14ac:dyDescent="0.15">
      <c r="A2340" s="10"/>
      <c r="B2340" s="3"/>
      <c r="C2340" s="10"/>
      <c r="D2340" s="10"/>
      <c r="E2340" s="10"/>
      <c r="F2340" s="10"/>
      <c r="G2340" s="10"/>
      <c r="H2340" s="10"/>
      <c r="I2340" s="10"/>
      <c r="J2340" s="10"/>
      <c r="K2340" s="10"/>
      <c r="L2340" s="10"/>
      <c r="M2340" s="10"/>
      <c r="N2340" s="10"/>
      <c r="O2340" s="3"/>
      <c r="P2340" s="10"/>
    </row>
    <row r="2341" spans="1:16" x14ac:dyDescent="0.15">
      <c r="A2341" s="10"/>
      <c r="B2341" s="3"/>
      <c r="C2341" s="10"/>
      <c r="D2341" s="10"/>
      <c r="E2341" s="10"/>
      <c r="F2341" s="10"/>
      <c r="G2341" s="10"/>
      <c r="H2341" s="10"/>
      <c r="I2341" s="10"/>
      <c r="J2341" s="10"/>
      <c r="K2341" s="10"/>
      <c r="L2341" s="10"/>
      <c r="M2341" s="10"/>
      <c r="N2341" s="10"/>
      <c r="O2341" s="3"/>
      <c r="P2341" s="10"/>
    </row>
    <row r="2342" spans="1:16" x14ac:dyDescent="0.15">
      <c r="A2342" s="10"/>
      <c r="B2342" s="3"/>
      <c r="C2342" s="10"/>
      <c r="D2342" s="10"/>
      <c r="E2342" s="10"/>
      <c r="F2342" s="10"/>
      <c r="G2342" s="10"/>
      <c r="H2342" s="10"/>
      <c r="I2342" s="10"/>
      <c r="J2342" s="10"/>
      <c r="K2342" s="10"/>
      <c r="L2342" s="10"/>
      <c r="M2342" s="10"/>
      <c r="N2342" s="10"/>
      <c r="O2342" s="3"/>
      <c r="P2342" s="10"/>
    </row>
    <row r="2343" spans="1:16" x14ac:dyDescent="0.15">
      <c r="A2343" s="10"/>
      <c r="B2343" s="3"/>
      <c r="C2343" s="10"/>
      <c r="D2343" s="10"/>
      <c r="E2343" s="10"/>
      <c r="F2343" s="10"/>
      <c r="G2343" s="10"/>
      <c r="H2343" s="10"/>
      <c r="I2343" s="10"/>
      <c r="J2343" s="10"/>
      <c r="K2343" s="10"/>
      <c r="L2343" s="10"/>
      <c r="M2343" s="10"/>
      <c r="N2343" s="10"/>
      <c r="O2343" s="3"/>
      <c r="P2343" s="10"/>
    </row>
    <row r="2344" spans="1:16" x14ac:dyDescent="0.15">
      <c r="A2344" s="10"/>
      <c r="B2344" s="3"/>
      <c r="C2344" s="10"/>
      <c r="D2344" s="10"/>
      <c r="E2344" s="10"/>
      <c r="F2344" s="10"/>
      <c r="G2344" s="10"/>
      <c r="H2344" s="10"/>
      <c r="I2344" s="10"/>
      <c r="J2344" s="10"/>
      <c r="K2344" s="10"/>
      <c r="L2344" s="10"/>
      <c r="M2344" s="10"/>
      <c r="N2344" s="10"/>
      <c r="O2344" s="3"/>
      <c r="P2344" s="10"/>
    </row>
    <row r="2345" spans="1:16" x14ac:dyDescent="0.15">
      <c r="A2345" s="10"/>
      <c r="B2345" s="3"/>
      <c r="C2345" s="10"/>
      <c r="D2345" s="10"/>
      <c r="E2345" s="10"/>
      <c r="F2345" s="10"/>
      <c r="G2345" s="10"/>
      <c r="H2345" s="10"/>
      <c r="I2345" s="10"/>
      <c r="J2345" s="10"/>
      <c r="K2345" s="10"/>
      <c r="L2345" s="10"/>
      <c r="M2345" s="10"/>
      <c r="N2345" s="10"/>
      <c r="O2345" s="3"/>
      <c r="P2345" s="10"/>
    </row>
    <row r="2346" spans="1:16" x14ac:dyDescent="0.15">
      <c r="A2346" s="10"/>
      <c r="B2346" s="3"/>
      <c r="C2346" s="10"/>
      <c r="D2346" s="10"/>
      <c r="E2346" s="10"/>
      <c r="F2346" s="10"/>
      <c r="G2346" s="10"/>
      <c r="H2346" s="10"/>
      <c r="I2346" s="10"/>
      <c r="J2346" s="10"/>
      <c r="K2346" s="10"/>
      <c r="L2346" s="10"/>
      <c r="M2346" s="10"/>
      <c r="N2346" s="10"/>
      <c r="O2346" s="3"/>
      <c r="P2346" s="10"/>
    </row>
    <row r="2347" spans="1:16" x14ac:dyDescent="0.15">
      <c r="A2347" s="10"/>
      <c r="B2347" s="3"/>
      <c r="C2347" s="10"/>
      <c r="D2347" s="10"/>
      <c r="E2347" s="10"/>
      <c r="F2347" s="10"/>
      <c r="G2347" s="10"/>
      <c r="H2347" s="10"/>
      <c r="I2347" s="10"/>
      <c r="J2347" s="10"/>
      <c r="K2347" s="10"/>
      <c r="L2347" s="10"/>
      <c r="M2347" s="10"/>
      <c r="N2347" s="10"/>
      <c r="O2347" s="3"/>
      <c r="P2347" s="10"/>
    </row>
    <row r="2348" spans="1:16" x14ac:dyDescent="0.15">
      <c r="A2348" s="10"/>
      <c r="B2348" s="3"/>
      <c r="C2348" s="10"/>
      <c r="D2348" s="10"/>
      <c r="E2348" s="10"/>
      <c r="F2348" s="10"/>
      <c r="G2348" s="10"/>
      <c r="H2348" s="10"/>
      <c r="I2348" s="10"/>
      <c r="J2348" s="10"/>
      <c r="K2348" s="10"/>
      <c r="L2348" s="10"/>
      <c r="M2348" s="10"/>
      <c r="N2348" s="10"/>
      <c r="O2348" s="3"/>
      <c r="P2348" s="10"/>
    </row>
    <row r="2349" spans="1:16" x14ac:dyDescent="0.15">
      <c r="A2349" s="10"/>
      <c r="B2349" s="3"/>
      <c r="C2349" s="10"/>
      <c r="D2349" s="10"/>
      <c r="E2349" s="10"/>
      <c r="F2349" s="10"/>
      <c r="G2349" s="10"/>
      <c r="H2349" s="10"/>
      <c r="I2349" s="10"/>
      <c r="J2349" s="10"/>
      <c r="K2349" s="10"/>
      <c r="L2349" s="10"/>
      <c r="M2349" s="10"/>
      <c r="N2349" s="10"/>
      <c r="O2349" s="3"/>
      <c r="P2349" s="10"/>
    </row>
    <row r="2350" spans="1:16" x14ac:dyDescent="0.15">
      <c r="A2350" s="10"/>
      <c r="B2350" s="3"/>
      <c r="C2350" s="10"/>
      <c r="D2350" s="10"/>
      <c r="E2350" s="10"/>
      <c r="F2350" s="10"/>
      <c r="G2350" s="10"/>
      <c r="H2350" s="10"/>
      <c r="I2350" s="10"/>
      <c r="J2350" s="10"/>
      <c r="K2350" s="10"/>
      <c r="L2350" s="10"/>
      <c r="M2350" s="10"/>
      <c r="N2350" s="10"/>
      <c r="O2350" s="3"/>
      <c r="P2350" s="10"/>
    </row>
    <row r="2351" spans="1:16" x14ac:dyDescent="0.15">
      <c r="A2351" s="10"/>
      <c r="B2351" s="3"/>
      <c r="C2351" s="10"/>
      <c r="D2351" s="10"/>
      <c r="E2351" s="10"/>
      <c r="F2351" s="10"/>
      <c r="G2351" s="10"/>
      <c r="H2351" s="10"/>
      <c r="I2351" s="10"/>
      <c r="J2351" s="10"/>
      <c r="K2351" s="10"/>
      <c r="L2351" s="10"/>
      <c r="M2351" s="10"/>
      <c r="N2351" s="10"/>
      <c r="O2351" s="3"/>
      <c r="P2351" s="10"/>
    </row>
    <row r="2352" spans="1:16" x14ac:dyDescent="0.15">
      <c r="A2352" s="10"/>
      <c r="B2352" s="3"/>
      <c r="C2352" s="10"/>
      <c r="D2352" s="10"/>
      <c r="E2352" s="10"/>
      <c r="F2352" s="10"/>
      <c r="G2352" s="10"/>
      <c r="H2352" s="10"/>
      <c r="I2352" s="10"/>
      <c r="J2352" s="10"/>
      <c r="K2352" s="10"/>
      <c r="L2352" s="10"/>
      <c r="M2352" s="10"/>
      <c r="N2352" s="10"/>
      <c r="O2352" s="3"/>
      <c r="P2352" s="10"/>
    </row>
    <row r="2353" spans="1:16" x14ac:dyDescent="0.15">
      <c r="A2353" s="10"/>
      <c r="B2353" s="3"/>
      <c r="C2353" s="10"/>
      <c r="D2353" s="10"/>
      <c r="E2353" s="10"/>
      <c r="F2353" s="10"/>
      <c r="G2353" s="10"/>
      <c r="H2353" s="10"/>
      <c r="I2353" s="10"/>
      <c r="J2353" s="10"/>
      <c r="K2353" s="10"/>
      <c r="L2353" s="10"/>
      <c r="M2353" s="10"/>
      <c r="N2353" s="10"/>
      <c r="O2353" s="3"/>
      <c r="P2353" s="10"/>
    </row>
    <row r="2354" spans="1:16" x14ac:dyDescent="0.15">
      <c r="A2354" s="10"/>
      <c r="B2354" s="3"/>
      <c r="C2354" s="10"/>
      <c r="D2354" s="10"/>
      <c r="E2354" s="10"/>
      <c r="F2354" s="10"/>
      <c r="G2354" s="10"/>
      <c r="H2354" s="10"/>
      <c r="I2354" s="10"/>
      <c r="J2354" s="10"/>
      <c r="K2354" s="10"/>
      <c r="L2354" s="10"/>
      <c r="M2354" s="10"/>
      <c r="N2354" s="10"/>
      <c r="O2354" s="3"/>
      <c r="P2354" s="10"/>
    </row>
    <row r="2355" spans="1:16" x14ac:dyDescent="0.15">
      <c r="A2355" s="10"/>
      <c r="B2355" s="3"/>
      <c r="C2355" s="10"/>
      <c r="D2355" s="10"/>
      <c r="E2355" s="10"/>
      <c r="F2355" s="10"/>
      <c r="G2355" s="10"/>
      <c r="H2355" s="10"/>
      <c r="I2355" s="10"/>
      <c r="J2355" s="10"/>
      <c r="K2355" s="10"/>
      <c r="L2355" s="10"/>
      <c r="M2355" s="10"/>
      <c r="N2355" s="10"/>
      <c r="O2355" s="3"/>
      <c r="P2355" s="10"/>
    </row>
    <row r="2356" spans="1:16" x14ac:dyDescent="0.15">
      <c r="A2356" s="10"/>
      <c r="B2356" s="3"/>
      <c r="C2356" s="10"/>
      <c r="D2356" s="10"/>
      <c r="E2356" s="10"/>
      <c r="F2356" s="10"/>
      <c r="G2356" s="10"/>
      <c r="H2356" s="10"/>
      <c r="I2356" s="10"/>
      <c r="J2356" s="10"/>
      <c r="K2356" s="10"/>
      <c r="L2356" s="10"/>
      <c r="M2356" s="10"/>
      <c r="N2356" s="10"/>
      <c r="O2356" s="3"/>
      <c r="P2356" s="10"/>
    </row>
    <row r="2357" spans="1:16" x14ac:dyDescent="0.15">
      <c r="A2357" s="10"/>
      <c r="B2357" s="3"/>
      <c r="C2357" s="10"/>
      <c r="D2357" s="10"/>
      <c r="E2357" s="10"/>
      <c r="F2357" s="10"/>
      <c r="G2357" s="10"/>
      <c r="H2357" s="10"/>
      <c r="I2357" s="10"/>
      <c r="J2357" s="10"/>
      <c r="K2357" s="10"/>
      <c r="L2357" s="10"/>
      <c r="M2357" s="10"/>
      <c r="N2357" s="10"/>
      <c r="O2357" s="3"/>
      <c r="P2357" s="10"/>
    </row>
    <row r="2358" spans="1:16" x14ac:dyDescent="0.15">
      <c r="A2358" s="10"/>
      <c r="B2358" s="3"/>
      <c r="C2358" s="10"/>
      <c r="D2358" s="10"/>
      <c r="E2358" s="10"/>
      <c r="F2358" s="10"/>
      <c r="G2358" s="10"/>
      <c r="H2358" s="10"/>
      <c r="I2358" s="10"/>
      <c r="J2358" s="10"/>
      <c r="K2358" s="10"/>
      <c r="L2358" s="10"/>
      <c r="M2358" s="10"/>
      <c r="N2358" s="10"/>
      <c r="O2358" s="3"/>
      <c r="P2358" s="10"/>
    </row>
    <row r="2359" spans="1:16" x14ac:dyDescent="0.15">
      <c r="A2359" s="10"/>
      <c r="B2359" s="3"/>
      <c r="C2359" s="10"/>
      <c r="D2359" s="10"/>
      <c r="E2359" s="10"/>
      <c r="F2359" s="10"/>
      <c r="G2359" s="10"/>
      <c r="H2359" s="10"/>
      <c r="I2359" s="10"/>
      <c r="J2359" s="10"/>
      <c r="K2359" s="10"/>
      <c r="L2359" s="10"/>
      <c r="M2359" s="10"/>
      <c r="N2359" s="10"/>
      <c r="O2359" s="3"/>
      <c r="P2359" s="10"/>
    </row>
    <row r="2360" spans="1:16" x14ac:dyDescent="0.15">
      <c r="A2360" s="10"/>
      <c r="B2360" s="3"/>
      <c r="C2360" s="10"/>
      <c r="D2360" s="10"/>
      <c r="E2360" s="10"/>
      <c r="F2360" s="10"/>
      <c r="G2360" s="10"/>
      <c r="H2360" s="10"/>
      <c r="I2360" s="10"/>
      <c r="J2360" s="10"/>
      <c r="K2360" s="10"/>
      <c r="L2360" s="10"/>
      <c r="M2360" s="10"/>
      <c r="N2360" s="10"/>
      <c r="O2360" s="3"/>
      <c r="P2360" s="10"/>
    </row>
    <row r="2361" spans="1:16" x14ac:dyDescent="0.15">
      <c r="A2361" s="10"/>
      <c r="B2361" s="3"/>
      <c r="C2361" s="10"/>
      <c r="D2361" s="10"/>
      <c r="E2361" s="10"/>
      <c r="F2361" s="10"/>
      <c r="G2361" s="10"/>
      <c r="H2361" s="10"/>
      <c r="I2361" s="10"/>
      <c r="J2361" s="10"/>
      <c r="K2361" s="10"/>
      <c r="L2361" s="10"/>
      <c r="M2361" s="10"/>
      <c r="N2361" s="10"/>
      <c r="O2361" s="3"/>
      <c r="P2361" s="10"/>
    </row>
    <row r="2362" spans="1:16" x14ac:dyDescent="0.15">
      <c r="A2362" s="10"/>
      <c r="B2362" s="3"/>
      <c r="C2362" s="10"/>
      <c r="D2362" s="10"/>
      <c r="E2362" s="10"/>
      <c r="F2362" s="10"/>
      <c r="G2362" s="10"/>
      <c r="H2362" s="10"/>
      <c r="I2362" s="10"/>
      <c r="J2362" s="10"/>
      <c r="K2362" s="10"/>
      <c r="L2362" s="10"/>
      <c r="M2362" s="10"/>
      <c r="N2362" s="10"/>
      <c r="O2362" s="3"/>
      <c r="P2362" s="10"/>
    </row>
    <row r="2363" spans="1:16" x14ac:dyDescent="0.15">
      <c r="A2363" s="10"/>
      <c r="B2363" s="3"/>
      <c r="C2363" s="10"/>
      <c r="D2363" s="10"/>
      <c r="E2363" s="10"/>
      <c r="F2363" s="10"/>
      <c r="G2363" s="10"/>
      <c r="H2363" s="10"/>
      <c r="I2363" s="10"/>
      <c r="J2363" s="10"/>
      <c r="K2363" s="10"/>
      <c r="L2363" s="10"/>
      <c r="M2363" s="10"/>
      <c r="N2363" s="10"/>
      <c r="O2363" s="3"/>
      <c r="P2363" s="10"/>
    </row>
    <row r="2364" spans="1:16" x14ac:dyDescent="0.15">
      <c r="A2364" s="10"/>
      <c r="B2364" s="3"/>
      <c r="C2364" s="10"/>
      <c r="D2364" s="10"/>
      <c r="E2364" s="10"/>
      <c r="F2364" s="10"/>
      <c r="G2364" s="10"/>
      <c r="H2364" s="10"/>
      <c r="I2364" s="10"/>
      <c r="J2364" s="10"/>
      <c r="K2364" s="10"/>
      <c r="L2364" s="10"/>
      <c r="M2364" s="10"/>
      <c r="N2364" s="10"/>
      <c r="O2364" s="3"/>
      <c r="P2364" s="10"/>
    </row>
    <row r="2365" spans="1:16" x14ac:dyDescent="0.15">
      <c r="A2365" s="10"/>
      <c r="B2365" s="3"/>
      <c r="C2365" s="10"/>
      <c r="D2365" s="10"/>
      <c r="E2365" s="10"/>
      <c r="F2365" s="10"/>
      <c r="G2365" s="10"/>
      <c r="H2365" s="10"/>
      <c r="I2365" s="10"/>
      <c r="J2365" s="10"/>
      <c r="K2365" s="10"/>
      <c r="L2365" s="10"/>
      <c r="M2365" s="10"/>
      <c r="N2365" s="10"/>
      <c r="O2365" s="3"/>
      <c r="P2365" s="10"/>
    </row>
    <row r="2366" spans="1:16" x14ac:dyDescent="0.15">
      <c r="A2366" s="10"/>
      <c r="B2366" s="3"/>
      <c r="C2366" s="10"/>
      <c r="D2366" s="10"/>
      <c r="E2366" s="10"/>
      <c r="F2366" s="10"/>
      <c r="G2366" s="10"/>
      <c r="H2366" s="10"/>
      <c r="I2366" s="10"/>
      <c r="J2366" s="10"/>
      <c r="K2366" s="10"/>
      <c r="L2366" s="10"/>
      <c r="M2366" s="10"/>
      <c r="N2366" s="10"/>
      <c r="O2366" s="3"/>
      <c r="P2366" s="10"/>
    </row>
    <row r="2367" spans="1:16" x14ac:dyDescent="0.15">
      <c r="A2367" s="10"/>
      <c r="B2367" s="3"/>
      <c r="C2367" s="10"/>
      <c r="D2367" s="10"/>
      <c r="E2367" s="10"/>
      <c r="F2367" s="10"/>
      <c r="G2367" s="10"/>
      <c r="H2367" s="10"/>
      <c r="I2367" s="10"/>
      <c r="J2367" s="10"/>
      <c r="K2367" s="10"/>
      <c r="L2367" s="10"/>
      <c r="M2367" s="10"/>
      <c r="N2367" s="10"/>
      <c r="O2367" s="3"/>
      <c r="P2367" s="10"/>
    </row>
    <row r="2368" spans="1:16" x14ac:dyDescent="0.15">
      <c r="A2368" s="10"/>
      <c r="B2368" s="3"/>
      <c r="C2368" s="10"/>
      <c r="D2368" s="10"/>
      <c r="E2368" s="10"/>
      <c r="F2368" s="10"/>
      <c r="G2368" s="10"/>
      <c r="H2368" s="10"/>
      <c r="I2368" s="10"/>
      <c r="J2368" s="10"/>
      <c r="K2368" s="10"/>
      <c r="L2368" s="10"/>
      <c r="M2368" s="10"/>
      <c r="N2368" s="10"/>
      <c r="O2368" s="3"/>
      <c r="P2368" s="10"/>
    </row>
    <row r="2369" spans="1:16" x14ac:dyDescent="0.15">
      <c r="A2369" s="10"/>
      <c r="B2369" s="3"/>
      <c r="C2369" s="10"/>
      <c r="D2369" s="10"/>
      <c r="E2369" s="10"/>
      <c r="F2369" s="10"/>
      <c r="G2369" s="10"/>
      <c r="H2369" s="10"/>
      <c r="I2369" s="10"/>
      <c r="J2369" s="10"/>
      <c r="K2369" s="10"/>
      <c r="L2369" s="10"/>
      <c r="M2369" s="10"/>
      <c r="N2369" s="10"/>
      <c r="O2369" s="3"/>
      <c r="P2369" s="10"/>
    </row>
    <row r="2370" spans="1:16" x14ac:dyDescent="0.15">
      <c r="A2370" s="10"/>
      <c r="B2370" s="3"/>
      <c r="C2370" s="10"/>
      <c r="D2370" s="10"/>
      <c r="E2370" s="10"/>
      <c r="F2370" s="10"/>
      <c r="G2370" s="10"/>
      <c r="H2370" s="10"/>
      <c r="I2370" s="10"/>
      <c r="J2370" s="10"/>
      <c r="K2370" s="10"/>
      <c r="L2370" s="10"/>
      <c r="M2370" s="10"/>
      <c r="N2370" s="10"/>
      <c r="O2370" s="3"/>
      <c r="P2370" s="10"/>
    </row>
    <row r="2371" spans="1:16" x14ac:dyDescent="0.15">
      <c r="A2371" s="10"/>
      <c r="B2371" s="3"/>
      <c r="C2371" s="10"/>
      <c r="D2371" s="10"/>
      <c r="E2371" s="10"/>
      <c r="F2371" s="10"/>
      <c r="G2371" s="10"/>
      <c r="H2371" s="10"/>
      <c r="I2371" s="10"/>
      <c r="J2371" s="10"/>
      <c r="K2371" s="10"/>
      <c r="L2371" s="10"/>
      <c r="M2371" s="10"/>
      <c r="N2371" s="10"/>
      <c r="O2371" s="3"/>
      <c r="P2371" s="10"/>
    </row>
    <row r="2372" spans="1:16" x14ac:dyDescent="0.15">
      <c r="A2372" s="10"/>
      <c r="B2372" s="3"/>
      <c r="C2372" s="10"/>
      <c r="D2372" s="10"/>
      <c r="E2372" s="10"/>
      <c r="F2372" s="10"/>
      <c r="G2372" s="10"/>
      <c r="H2372" s="10"/>
      <c r="I2372" s="10"/>
      <c r="J2372" s="10"/>
      <c r="K2372" s="10"/>
      <c r="L2372" s="10"/>
      <c r="M2372" s="10"/>
      <c r="N2372" s="10"/>
      <c r="O2372" s="3"/>
      <c r="P2372" s="10"/>
    </row>
    <row r="2373" spans="1:16" x14ac:dyDescent="0.15">
      <c r="A2373" s="10"/>
      <c r="B2373" s="3"/>
      <c r="C2373" s="10"/>
      <c r="D2373" s="10"/>
      <c r="E2373" s="10"/>
      <c r="F2373" s="10"/>
      <c r="G2373" s="10"/>
      <c r="H2373" s="10"/>
      <c r="I2373" s="10"/>
      <c r="J2373" s="10"/>
      <c r="K2373" s="10"/>
      <c r="L2373" s="10"/>
      <c r="M2373" s="10"/>
      <c r="N2373" s="10"/>
      <c r="O2373" s="3"/>
      <c r="P2373" s="10"/>
    </row>
    <row r="2374" spans="1:16" x14ac:dyDescent="0.15">
      <c r="A2374" s="10"/>
      <c r="B2374" s="3"/>
      <c r="C2374" s="10"/>
      <c r="D2374" s="10"/>
      <c r="E2374" s="10"/>
      <c r="F2374" s="10"/>
      <c r="G2374" s="10"/>
      <c r="H2374" s="10"/>
      <c r="I2374" s="10"/>
      <c r="J2374" s="10"/>
      <c r="K2374" s="10"/>
      <c r="L2374" s="10"/>
      <c r="M2374" s="10"/>
      <c r="N2374" s="10"/>
      <c r="O2374" s="3"/>
      <c r="P2374" s="10"/>
    </row>
    <row r="2375" spans="1:16" x14ac:dyDescent="0.15">
      <c r="A2375" s="10"/>
      <c r="B2375" s="3"/>
      <c r="C2375" s="10"/>
      <c r="D2375" s="10"/>
      <c r="E2375" s="10"/>
      <c r="F2375" s="10"/>
      <c r="G2375" s="10"/>
      <c r="H2375" s="10"/>
      <c r="I2375" s="10"/>
      <c r="J2375" s="10"/>
      <c r="K2375" s="10"/>
      <c r="L2375" s="10"/>
      <c r="M2375" s="10"/>
      <c r="N2375" s="10"/>
      <c r="O2375" s="3"/>
      <c r="P2375" s="10"/>
    </row>
    <row r="2376" spans="1:16" x14ac:dyDescent="0.15">
      <c r="A2376" s="10"/>
      <c r="B2376" s="3"/>
      <c r="C2376" s="10"/>
      <c r="D2376" s="10"/>
      <c r="E2376" s="10"/>
      <c r="F2376" s="10"/>
      <c r="G2376" s="10"/>
      <c r="H2376" s="10"/>
      <c r="I2376" s="10"/>
      <c r="J2376" s="10"/>
      <c r="K2376" s="10"/>
      <c r="L2376" s="10"/>
      <c r="M2376" s="10"/>
      <c r="N2376" s="10"/>
      <c r="O2376" s="3"/>
      <c r="P2376" s="10"/>
    </row>
    <row r="2377" spans="1:16" x14ac:dyDescent="0.15">
      <c r="A2377" s="10"/>
      <c r="B2377" s="3"/>
      <c r="C2377" s="10"/>
      <c r="D2377" s="10"/>
      <c r="E2377" s="10"/>
      <c r="F2377" s="10"/>
      <c r="G2377" s="10"/>
      <c r="H2377" s="10"/>
      <c r="I2377" s="10"/>
      <c r="J2377" s="10"/>
      <c r="K2377" s="10"/>
      <c r="L2377" s="10"/>
      <c r="M2377" s="10"/>
      <c r="N2377" s="10"/>
      <c r="O2377" s="3"/>
      <c r="P2377" s="10"/>
    </row>
    <row r="2378" spans="1:16" x14ac:dyDescent="0.15">
      <c r="A2378" s="10"/>
      <c r="B2378" s="3"/>
      <c r="C2378" s="10"/>
      <c r="D2378" s="10"/>
      <c r="E2378" s="10"/>
      <c r="F2378" s="10"/>
      <c r="G2378" s="10"/>
      <c r="H2378" s="10"/>
      <c r="I2378" s="10"/>
      <c r="J2378" s="10"/>
      <c r="K2378" s="10"/>
      <c r="L2378" s="10"/>
      <c r="M2378" s="10"/>
      <c r="N2378" s="10"/>
      <c r="O2378" s="3"/>
      <c r="P2378" s="10"/>
    </row>
    <row r="2379" spans="1:16" x14ac:dyDescent="0.15">
      <c r="A2379" s="10"/>
      <c r="B2379" s="3"/>
      <c r="C2379" s="10"/>
      <c r="D2379" s="10"/>
      <c r="E2379" s="10"/>
      <c r="F2379" s="10"/>
      <c r="G2379" s="10"/>
      <c r="H2379" s="10"/>
      <c r="I2379" s="10"/>
      <c r="J2379" s="10"/>
      <c r="K2379" s="10"/>
      <c r="L2379" s="10"/>
      <c r="M2379" s="10"/>
      <c r="N2379" s="10"/>
      <c r="O2379" s="3"/>
      <c r="P2379" s="10"/>
    </row>
    <row r="2380" spans="1:16" x14ac:dyDescent="0.15">
      <c r="A2380" s="10"/>
      <c r="B2380" s="3"/>
      <c r="C2380" s="10"/>
      <c r="D2380" s="10"/>
      <c r="E2380" s="10"/>
      <c r="F2380" s="10"/>
      <c r="G2380" s="10"/>
      <c r="H2380" s="10"/>
      <c r="I2380" s="10"/>
      <c r="J2380" s="10"/>
      <c r="K2380" s="10"/>
      <c r="L2380" s="10"/>
      <c r="M2380" s="10"/>
      <c r="N2380" s="10"/>
      <c r="O2380" s="3"/>
      <c r="P2380" s="10"/>
    </row>
    <row r="2381" spans="1:16" x14ac:dyDescent="0.15">
      <c r="A2381" s="10"/>
      <c r="B2381" s="3"/>
      <c r="C2381" s="10"/>
      <c r="D2381" s="10"/>
      <c r="E2381" s="10"/>
      <c r="F2381" s="10"/>
      <c r="G2381" s="10"/>
      <c r="H2381" s="10"/>
      <c r="I2381" s="10"/>
      <c r="J2381" s="10"/>
      <c r="K2381" s="10"/>
      <c r="L2381" s="10"/>
      <c r="M2381" s="10"/>
      <c r="N2381" s="10"/>
      <c r="O2381" s="3"/>
      <c r="P2381" s="10"/>
    </row>
    <row r="2382" spans="1:16" x14ac:dyDescent="0.15">
      <c r="A2382" s="10"/>
      <c r="B2382" s="3"/>
      <c r="C2382" s="10"/>
      <c r="D2382" s="10"/>
      <c r="E2382" s="10"/>
      <c r="F2382" s="10"/>
      <c r="G2382" s="10"/>
      <c r="H2382" s="10"/>
      <c r="I2382" s="10"/>
      <c r="J2382" s="10"/>
      <c r="K2382" s="10"/>
      <c r="L2382" s="10"/>
      <c r="M2382" s="10"/>
      <c r="N2382" s="10"/>
      <c r="O2382" s="3"/>
      <c r="P2382" s="10"/>
    </row>
    <row r="2383" spans="1:16" x14ac:dyDescent="0.15">
      <c r="A2383" s="10"/>
      <c r="B2383" s="3"/>
      <c r="C2383" s="10"/>
      <c r="D2383" s="10"/>
      <c r="E2383" s="10"/>
      <c r="F2383" s="10"/>
      <c r="G2383" s="10"/>
      <c r="H2383" s="10"/>
      <c r="I2383" s="10"/>
      <c r="J2383" s="10"/>
      <c r="K2383" s="10"/>
      <c r="L2383" s="10"/>
      <c r="M2383" s="10"/>
      <c r="N2383" s="10"/>
      <c r="O2383" s="3"/>
      <c r="P2383" s="10"/>
    </row>
    <row r="2384" spans="1:16" x14ac:dyDescent="0.15">
      <c r="A2384" s="10"/>
      <c r="B2384" s="3"/>
      <c r="C2384" s="10"/>
      <c r="D2384" s="10"/>
      <c r="E2384" s="10"/>
      <c r="F2384" s="10"/>
      <c r="G2384" s="10"/>
      <c r="H2384" s="10"/>
      <c r="I2384" s="10"/>
      <c r="J2384" s="10"/>
      <c r="K2384" s="10"/>
      <c r="L2384" s="10"/>
      <c r="M2384" s="10"/>
      <c r="N2384" s="10"/>
      <c r="O2384" s="3"/>
      <c r="P2384" s="10"/>
    </row>
    <row r="2385" spans="1:16" x14ac:dyDescent="0.15">
      <c r="A2385" s="10"/>
      <c r="B2385" s="3"/>
      <c r="C2385" s="10"/>
      <c r="D2385" s="10"/>
      <c r="E2385" s="10"/>
      <c r="F2385" s="10"/>
      <c r="G2385" s="10"/>
      <c r="H2385" s="10"/>
      <c r="I2385" s="10"/>
      <c r="J2385" s="10"/>
      <c r="K2385" s="10"/>
      <c r="L2385" s="10"/>
      <c r="M2385" s="10"/>
      <c r="N2385" s="10"/>
      <c r="O2385" s="3"/>
      <c r="P2385" s="10"/>
    </row>
    <row r="2386" spans="1:16" x14ac:dyDescent="0.15">
      <c r="A2386" s="10"/>
      <c r="B2386" s="3"/>
      <c r="C2386" s="10"/>
      <c r="D2386" s="10"/>
      <c r="E2386" s="10"/>
      <c r="F2386" s="10"/>
      <c r="G2386" s="10"/>
      <c r="H2386" s="10"/>
      <c r="I2386" s="10"/>
      <c r="J2386" s="10"/>
      <c r="K2386" s="10"/>
      <c r="L2386" s="10"/>
      <c r="M2386" s="10"/>
      <c r="N2386" s="10"/>
      <c r="O2386" s="3"/>
      <c r="P2386" s="10"/>
    </row>
    <row r="2387" spans="1:16" x14ac:dyDescent="0.15">
      <c r="A2387" s="10"/>
      <c r="B2387" s="3"/>
      <c r="C2387" s="10"/>
      <c r="D2387" s="10"/>
      <c r="E2387" s="10"/>
      <c r="F2387" s="10"/>
      <c r="G2387" s="10"/>
      <c r="H2387" s="10"/>
      <c r="I2387" s="10"/>
      <c r="J2387" s="10"/>
      <c r="K2387" s="10"/>
      <c r="L2387" s="10"/>
      <c r="M2387" s="10"/>
      <c r="N2387" s="10"/>
      <c r="O2387" s="3"/>
      <c r="P2387" s="10"/>
    </row>
    <row r="2388" spans="1:16" x14ac:dyDescent="0.15">
      <c r="A2388" s="10"/>
      <c r="B2388" s="3"/>
      <c r="C2388" s="10"/>
      <c r="D2388" s="10"/>
      <c r="E2388" s="10"/>
      <c r="F2388" s="10"/>
      <c r="G2388" s="10"/>
      <c r="H2388" s="10"/>
      <c r="I2388" s="10"/>
      <c r="J2388" s="10"/>
      <c r="K2388" s="10"/>
      <c r="L2388" s="10"/>
      <c r="M2388" s="10"/>
      <c r="N2388" s="10"/>
      <c r="O2388" s="3"/>
      <c r="P2388" s="10"/>
    </row>
    <row r="2389" spans="1:16" x14ac:dyDescent="0.15">
      <c r="A2389" s="10"/>
      <c r="B2389" s="3"/>
      <c r="C2389" s="10"/>
      <c r="D2389" s="10"/>
      <c r="E2389" s="10"/>
      <c r="F2389" s="10"/>
      <c r="G2389" s="10"/>
      <c r="H2389" s="10"/>
      <c r="I2389" s="10"/>
      <c r="J2389" s="10"/>
      <c r="K2389" s="10"/>
      <c r="L2389" s="10"/>
      <c r="M2389" s="10"/>
      <c r="N2389" s="10"/>
      <c r="O2389" s="3"/>
      <c r="P2389" s="10"/>
    </row>
    <row r="2390" spans="1:16" x14ac:dyDescent="0.15">
      <c r="A2390" s="10"/>
      <c r="B2390" s="3"/>
      <c r="C2390" s="10"/>
      <c r="D2390" s="10"/>
      <c r="E2390" s="10"/>
      <c r="F2390" s="10"/>
      <c r="G2390" s="10"/>
      <c r="H2390" s="10"/>
      <c r="I2390" s="10"/>
      <c r="J2390" s="10"/>
      <c r="K2390" s="10"/>
      <c r="L2390" s="10"/>
      <c r="M2390" s="10"/>
      <c r="N2390" s="10"/>
      <c r="O2390" s="3"/>
      <c r="P2390" s="10"/>
    </row>
    <row r="2391" spans="1:16" x14ac:dyDescent="0.15">
      <c r="A2391" s="10"/>
      <c r="B2391" s="3"/>
      <c r="C2391" s="10"/>
      <c r="D2391" s="10"/>
      <c r="E2391" s="10"/>
      <c r="F2391" s="10"/>
      <c r="G2391" s="10"/>
      <c r="H2391" s="10"/>
      <c r="I2391" s="10"/>
      <c r="J2391" s="10"/>
      <c r="K2391" s="10"/>
      <c r="L2391" s="10"/>
      <c r="M2391" s="10"/>
      <c r="N2391" s="10"/>
      <c r="O2391" s="3"/>
      <c r="P2391" s="10"/>
    </row>
    <row r="2392" spans="1:16" x14ac:dyDescent="0.15">
      <c r="A2392" s="10"/>
      <c r="B2392" s="3"/>
      <c r="C2392" s="10"/>
      <c r="D2392" s="10"/>
      <c r="E2392" s="10"/>
      <c r="F2392" s="10"/>
      <c r="G2392" s="10"/>
      <c r="H2392" s="10"/>
      <c r="I2392" s="10"/>
      <c r="J2392" s="10"/>
      <c r="K2392" s="10"/>
      <c r="L2392" s="10"/>
      <c r="M2392" s="10"/>
      <c r="N2392" s="10"/>
      <c r="O2392" s="3"/>
      <c r="P2392" s="10"/>
    </row>
    <row r="2393" spans="1:16" x14ac:dyDescent="0.15">
      <c r="A2393" s="10"/>
      <c r="B2393" s="3"/>
      <c r="C2393" s="10"/>
      <c r="D2393" s="10"/>
      <c r="E2393" s="10"/>
      <c r="F2393" s="10"/>
      <c r="G2393" s="10"/>
      <c r="H2393" s="10"/>
      <c r="I2393" s="10"/>
      <c r="J2393" s="10"/>
      <c r="K2393" s="10"/>
      <c r="L2393" s="10"/>
      <c r="M2393" s="10"/>
      <c r="N2393" s="10"/>
      <c r="O2393" s="3"/>
      <c r="P2393" s="10"/>
    </row>
    <row r="2394" spans="1:16" x14ac:dyDescent="0.15">
      <c r="A2394" s="10"/>
      <c r="B2394" s="3"/>
      <c r="C2394" s="10"/>
      <c r="D2394" s="10"/>
      <c r="E2394" s="10"/>
      <c r="F2394" s="10"/>
      <c r="G2394" s="10"/>
      <c r="H2394" s="10"/>
      <c r="I2394" s="10"/>
      <c r="J2394" s="10"/>
      <c r="K2394" s="10"/>
      <c r="L2394" s="10"/>
      <c r="M2394" s="10"/>
      <c r="N2394" s="10"/>
      <c r="O2394" s="3"/>
      <c r="P2394" s="10"/>
    </row>
    <row r="2395" spans="1:16" x14ac:dyDescent="0.15">
      <c r="A2395" s="10"/>
      <c r="B2395" s="3"/>
      <c r="C2395" s="10"/>
      <c r="D2395" s="10"/>
      <c r="E2395" s="10"/>
      <c r="F2395" s="10"/>
      <c r="G2395" s="10"/>
      <c r="H2395" s="10"/>
      <c r="I2395" s="10"/>
      <c r="J2395" s="10"/>
      <c r="K2395" s="10"/>
      <c r="L2395" s="10"/>
      <c r="M2395" s="10"/>
      <c r="N2395" s="10"/>
      <c r="O2395" s="3"/>
      <c r="P2395" s="10"/>
    </row>
    <row r="2396" spans="1:16" x14ac:dyDescent="0.15">
      <c r="A2396" s="10"/>
      <c r="B2396" s="3"/>
      <c r="C2396" s="10"/>
      <c r="D2396" s="10"/>
      <c r="E2396" s="10"/>
      <c r="F2396" s="10"/>
      <c r="G2396" s="10"/>
      <c r="H2396" s="10"/>
      <c r="I2396" s="10"/>
      <c r="J2396" s="10"/>
      <c r="K2396" s="10"/>
      <c r="L2396" s="10"/>
      <c r="M2396" s="10"/>
      <c r="N2396" s="10"/>
      <c r="O2396" s="3"/>
      <c r="P2396" s="10"/>
    </row>
    <row r="2397" spans="1:16" x14ac:dyDescent="0.15">
      <c r="A2397" s="10"/>
      <c r="B2397" s="3"/>
      <c r="C2397" s="10"/>
      <c r="D2397" s="10"/>
      <c r="E2397" s="10"/>
      <c r="F2397" s="10"/>
      <c r="G2397" s="10"/>
      <c r="H2397" s="10"/>
      <c r="I2397" s="10"/>
      <c r="J2397" s="10"/>
      <c r="K2397" s="10"/>
      <c r="L2397" s="10"/>
      <c r="M2397" s="10"/>
      <c r="N2397" s="10"/>
      <c r="O2397" s="3"/>
      <c r="P2397" s="10"/>
    </row>
    <row r="2398" spans="1:16" x14ac:dyDescent="0.15">
      <c r="A2398" s="10"/>
      <c r="B2398" s="3"/>
      <c r="C2398" s="10"/>
      <c r="D2398" s="10"/>
      <c r="E2398" s="10"/>
      <c r="F2398" s="10"/>
      <c r="G2398" s="10"/>
      <c r="H2398" s="10"/>
      <c r="I2398" s="10"/>
      <c r="J2398" s="10"/>
      <c r="K2398" s="10"/>
      <c r="L2398" s="10"/>
      <c r="M2398" s="10"/>
      <c r="N2398" s="10"/>
      <c r="O2398" s="3"/>
      <c r="P2398" s="10"/>
    </row>
    <row r="2399" spans="1:16" x14ac:dyDescent="0.15">
      <c r="A2399" s="10"/>
      <c r="B2399" s="3"/>
      <c r="C2399" s="10"/>
      <c r="D2399" s="10"/>
      <c r="E2399" s="10"/>
      <c r="F2399" s="10"/>
      <c r="G2399" s="10"/>
      <c r="H2399" s="10"/>
      <c r="I2399" s="10"/>
      <c r="J2399" s="10"/>
      <c r="K2399" s="10"/>
      <c r="L2399" s="10"/>
      <c r="M2399" s="10"/>
      <c r="N2399" s="10"/>
      <c r="O2399" s="3"/>
      <c r="P2399" s="10"/>
    </row>
    <row r="2400" spans="1:16" x14ac:dyDescent="0.15">
      <c r="A2400" s="10"/>
      <c r="B2400" s="3"/>
      <c r="C2400" s="10"/>
      <c r="D2400" s="10"/>
      <c r="E2400" s="10"/>
      <c r="F2400" s="10"/>
      <c r="G2400" s="10"/>
      <c r="H2400" s="10"/>
      <c r="I2400" s="10"/>
      <c r="J2400" s="10"/>
      <c r="K2400" s="10"/>
      <c r="L2400" s="10"/>
      <c r="M2400" s="10"/>
      <c r="N2400" s="10"/>
      <c r="O2400" s="3"/>
      <c r="P2400" s="10"/>
    </row>
    <row r="2401" spans="1:16" x14ac:dyDescent="0.15">
      <c r="A2401" s="10"/>
      <c r="B2401" s="3"/>
      <c r="C2401" s="10"/>
      <c r="D2401" s="10"/>
      <c r="E2401" s="10"/>
      <c r="F2401" s="10"/>
      <c r="G2401" s="10"/>
      <c r="H2401" s="10"/>
      <c r="I2401" s="10"/>
      <c r="J2401" s="10"/>
      <c r="K2401" s="10"/>
      <c r="L2401" s="10"/>
      <c r="M2401" s="10"/>
      <c r="N2401" s="10"/>
      <c r="O2401" s="3"/>
      <c r="P2401" s="10"/>
    </row>
    <row r="2402" spans="1:16" x14ac:dyDescent="0.15">
      <c r="A2402" s="10"/>
      <c r="B2402" s="3"/>
      <c r="C2402" s="10"/>
      <c r="D2402" s="10"/>
      <c r="E2402" s="10"/>
      <c r="F2402" s="10"/>
      <c r="G2402" s="10"/>
      <c r="H2402" s="10"/>
      <c r="I2402" s="10"/>
      <c r="J2402" s="10"/>
      <c r="K2402" s="10"/>
      <c r="L2402" s="10"/>
      <c r="M2402" s="10"/>
      <c r="N2402" s="10"/>
      <c r="O2402" s="3"/>
      <c r="P2402" s="10"/>
    </row>
    <row r="2403" spans="1:16" x14ac:dyDescent="0.15">
      <c r="A2403" s="10"/>
      <c r="B2403" s="3"/>
      <c r="C2403" s="10"/>
      <c r="D2403" s="10"/>
      <c r="E2403" s="10"/>
      <c r="F2403" s="10"/>
      <c r="G2403" s="10"/>
      <c r="H2403" s="10"/>
      <c r="I2403" s="10"/>
      <c r="J2403" s="10"/>
      <c r="K2403" s="10"/>
      <c r="L2403" s="10"/>
      <c r="M2403" s="10"/>
      <c r="N2403" s="10"/>
      <c r="O2403" s="3"/>
      <c r="P2403" s="10"/>
    </row>
    <row r="2404" spans="1:16" x14ac:dyDescent="0.15">
      <c r="A2404" s="10"/>
      <c r="B2404" s="3"/>
      <c r="C2404" s="10"/>
      <c r="D2404" s="10"/>
      <c r="E2404" s="10"/>
      <c r="F2404" s="10"/>
      <c r="G2404" s="10"/>
      <c r="H2404" s="10"/>
      <c r="I2404" s="10"/>
      <c r="J2404" s="10"/>
      <c r="K2404" s="10"/>
      <c r="L2404" s="10"/>
      <c r="M2404" s="10"/>
      <c r="N2404" s="10"/>
      <c r="O2404" s="3"/>
      <c r="P2404" s="10"/>
    </row>
    <row r="2405" spans="1:16" x14ac:dyDescent="0.15">
      <c r="A2405" s="10"/>
      <c r="B2405" s="3"/>
      <c r="C2405" s="10"/>
      <c r="D2405" s="10"/>
      <c r="E2405" s="10"/>
      <c r="F2405" s="10"/>
      <c r="G2405" s="10"/>
      <c r="H2405" s="10"/>
      <c r="I2405" s="10"/>
      <c r="J2405" s="10"/>
      <c r="K2405" s="10"/>
      <c r="L2405" s="10"/>
      <c r="M2405" s="10"/>
      <c r="N2405" s="10"/>
      <c r="O2405" s="3"/>
      <c r="P2405" s="10"/>
    </row>
    <row r="2406" spans="1:16" x14ac:dyDescent="0.15">
      <c r="A2406" s="10"/>
      <c r="B2406" s="3"/>
      <c r="C2406" s="10"/>
      <c r="D2406" s="10"/>
      <c r="E2406" s="10"/>
      <c r="F2406" s="10"/>
      <c r="G2406" s="10"/>
      <c r="H2406" s="10"/>
      <c r="I2406" s="10"/>
      <c r="J2406" s="10"/>
      <c r="K2406" s="10"/>
      <c r="L2406" s="10"/>
      <c r="M2406" s="10"/>
      <c r="N2406" s="10"/>
      <c r="O2406" s="3"/>
      <c r="P2406" s="10"/>
    </row>
    <row r="2407" spans="1:16" x14ac:dyDescent="0.15">
      <c r="A2407" s="10"/>
      <c r="B2407" s="3"/>
      <c r="C2407" s="10"/>
      <c r="D2407" s="10"/>
      <c r="E2407" s="10"/>
      <c r="F2407" s="10"/>
      <c r="G2407" s="10"/>
      <c r="H2407" s="10"/>
      <c r="I2407" s="10"/>
      <c r="J2407" s="10"/>
      <c r="K2407" s="10"/>
      <c r="L2407" s="10"/>
      <c r="M2407" s="10"/>
      <c r="N2407" s="10"/>
      <c r="O2407" s="3"/>
      <c r="P2407" s="10"/>
    </row>
    <row r="2408" spans="1:16" x14ac:dyDescent="0.15">
      <c r="A2408" s="10"/>
      <c r="B2408" s="3"/>
      <c r="C2408" s="10"/>
      <c r="D2408" s="10"/>
      <c r="E2408" s="10"/>
      <c r="F2408" s="10"/>
      <c r="G2408" s="10"/>
      <c r="H2408" s="10"/>
      <c r="I2408" s="10"/>
      <c r="J2408" s="10"/>
      <c r="K2408" s="10"/>
      <c r="L2408" s="10"/>
      <c r="M2408" s="10"/>
      <c r="N2408" s="10"/>
      <c r="O2408" s="3"/>
      <c r="P2408" s="10"/>
    </row>
    <row r="2409" spans="1:16" x14ac:dyDescent="0.15">
      <c r="A2409" s="10"/>
      <c r="B2409" s="3"/>
      <c r="C2409" s="10"/>
      <c r="D2409" s="10"/>
      <c r="E2409" s="10"/>
      <c r="F2409" s="10"/>
      <c r="G2409" s="10"/>
      <c r="H2409" s="10"/>
      <c r="I2409" s="10"/>
      <c r="J2409" s="10"/>
      <c r="K2409" s="10"/>
      <c r="L2409" s="10"/>
      <c r="M2409" s="10"/>
      <c r="N2409" s="10"/>
      <c r="O2409" s="3"/>
      <c r="P2409" s="10"/>
    </row>
    <row r="2410" spans="1:16" x14ac:dyDescent="0.15">
      <c r="A2410" s="10"/>
      <c r="B2410" s="3"/>
      <c r="C2410" s="10"/>
      <c r="D2410" s="10"/>
      <c r="E2410" s="10"/>
      <c r="F2410" s="10"/>
      <c r="G2410" s="10"/>
      <c r="H2410" s="10"/>
      <c r="I2410" s="10"/>
      <c r="J2410" s="10"/>
      <c r="K2410" s="10"/>
      <c r="L2410" s="10"/>
      <c r="M2410" s="10"/>
      <c r="N2410" s="10"/>
      <c r="O2410" s="3"/>
      <c r="P2410" s="10"/>
    </row>
    <row r="2411" spans="1:16" x14ac:dyDescent="0.15">
      <c r="A2411" s="10"/>
      <c r="B2411" s="3"/>
      <c r="C2411" s="10"/>
      <c r="D2411" s="10"/>
      <c r="E2411" s="10"/>
      <c r="F2411" s="10"/>
      <c r="G2411" s="10"/>
      <c r="H2411" s="10"/>
      <c r="I2411" s="10"/>
      <c r="J2411" s="10"/>
      <c r="K2411" s="10"/>
      <c r="L2411" s="10"/>
      <c r="M2411" s="10"/>
      <c r="N2411" s="10"/>
      <c r="O2411" s="3"/>
      <c r="P2411" s="10"/>
    </row>
    <row r="2412" spans="1:16" x14ac:dyDescent="0.15">
      <c r="A2412" s="10"/>
      <c r="B2412" s="3"/>
      <c r="C2412" s="10"/>
      <c r="D2412" s="10"/>
      <c r="E2412" s="10"/>
      <c r="F2412" s="10"/>
      <c r="G2412" s="10"/>
      <c r="H2412" s="10"/>
      <c r="I2412" s="10"/>
      <c r="J2412" s="10"/>
      <c r="K2412" s="10"/>
      <c r="L2412" s="10"/>
      <c r="M2412" s="10"/>
      <c r="N2412" s="10"/>
      <c r="O2412" s="3"/>
      <c r="P2412" s="10"/>
    </row>
    <row r="2413" spans="1:16" x14ac:dyDescent="0.15">
      <c r="A2413" s="10"/>
      <c r="B2413" s="3"/>
      <c r="C2413" s="10"/>
      <c r="D2413" s="10"/>
      <c r="E2413" s="10"/>
      <c r="F2413" s="10"/>
      <c r="G2413" s="10"/>
      <c r="H2413" s="10"/>
      <c r="I2413" s="10"/>
      <c r="J2413" s="10"/>
      <c r="K2413" s="10"/>
      <c r="L2413" s="10"/>
      <c r="M2413" s="10"/>
      <c r="N2413" s="10"/>
      <c r="O2413" s="3"/>
      <c r="P2413" s="10"/>
    </row>
    <row r="2414" spans="1:16" x14ac:dyDescent="0.15">
      <c r="A2414" s="10"/>
      <c r="B2414" s="3"/>
      <c r="C2414" s="10"/>
      <c r="D2414" s="10"/>
      <c r="E2414" s="10"/>
      <c r="F2414" s="10"/>
      <c r="G2414" s="10"/>
      <c r="H2414" s="10"/>
      <c r="I2414" s="10"/>
      <c r="J2414" s="10"/>
      <c r="K2414" s="10"/>
      <c r="L2414" s="10"/>
      <c r="M2414" s="10"/>
      <c r="N2414" s="10"/>
      <c r="O2414" s="3"/>
      <c r="P2414" s="10"/>
    </row>
    <row r="2415" spans="1:16" x14ac:dyDescent="0.15">
      <c r="A2415" s="10"/>
      <c r="B2415" s="3"/>
      <c r="C2415" s="10"/>
      <c r="D2415" s="10"/>
      <c r="E2415" s="10"/>
      <c r="F2415" s="10"/>
      <c r="G2415" s="10"/>
      <c r="H2415" s="10"/>
      <c r="I2415" s="10"/>
      <c r="J2415" s="10"/>
      <c r="K2415" s="10"/>
      <c r="L2415" s="10"/>
      <c r="M2415" s="10"/>
      <c r="N2415" s="10"/>
      <c r="O2415" s="3"/>
      <c r="P2415" s="10"/>
    </row>
    <row r="2416" spans="1:16" x14ac:dyDescent="0.15">
      <c r="A2416" s="10"/>
      <c r="B2416" s="3"/>
      <c r="C2416" s="10"/>
      <c r="D2416" s="10"/>
      <c r="E2416" s="10"/>
      <c r="F2416" s="10"/>
      <c r="G2416" s="10"/>
      <c r="H2416" s="10"/>
      <c r="I2416" s="10"/>
      <c r="J2416" s="10"/>
      <c r="K2416" s="10"/>
      <c r="L2416" s="10"/>
      <c r="M2416" s="10"/>
      <c r="N2416" s="10"/>
      <c r="O2416" s="3"/>
      <c r="P2416" s="10"/>
    </row>
    <row r="2417" spans="1:16" x14ac:dyDescent="0.15">
      <c r="A2417" s="10"/>
      <c r="B2417" s="3"/>
      <c r="C2417" s="10"/>
      <c r="D2417" s="10"/>
      <c r="E2417" s="10"/>
      <c r="F2417" s="10"/>
      <c r="G2417" s="10"/>
      <c r="H2417" s="10"/>
      <c r="I2417" s="10"/>
      <c r="J2417" s="10"/>
      <c r="K2417" s="10"/>
      <c r="L2417" s="10"/>
      <c r="M2417" s="10"/>
      <c r="N2417" s="10"/>
      <c r="O2417" s="3"/>
      <c r="P2417" s="10"/>
    </row>
    <row r="2418" spans="1:16" x14ac:dyDescent="0.15">
      <c r="A2418" s="10"/>
      <c r="B2418" s="3"/>
      <c r="C2418" s="10"/>
      <c r="D2418" s="10"/>
      <c r="E2418" s="10"/>
      <c r="F2418" s="10"/>
      <c r="G2418" s="10"/>
      <c r="H2418" s="10"/>
      <c r="I2418" s="10"/>
      <c r="J2418" s="10"/>
      <c r="K2418" s="10"/>
      <c r="L2418" s="10"/>
      <c r="M2418" s="10"/>
      <c r="N2418" s="10"/>
      <c r="O2418" s="3"/>
      <c r="P2418" s="10"/>
    </row>
    <row r="2419" spans="1:16" x14ac:dyDescent="0.15">
      <c r="A2419" s="10"/>
      <c r="B2419" s="3"/>
      <c r="C2419" s="10"/>
      <c r="D2419" s="10"/>
      <c r="E2419" s="10"/>
      <c r="F2419" s="10"/>
      <c r="G2419" s="10"/>
      <c r="H2419" s="10"/>
      <c r="I2419" s="10"/>
      <c r="J2419" s="10"/>
      <c r="K2419" s="10"/>
      <c r="L2419" s="10"/>
      <c r="M2419" s="10"/>
      <c r="N2419" s="10"/>
      <c r="O2419" s="3"/>
      <c r="P2419" s="10"/>
    </row>
    <row r="2420" spans="1:16" x14ac:dyDescent="0.15">
      <c r="A2420" s="10"/>
      <c r="B2420" s="3"/>
      <c r="C2420" s="10"/>
      <c r="D2420" s="10"/>
      <c r="E2420" s="10"/>
      <c r="F2420" s="10"/>
      <c r="G2420" s="10"/>
      <c r="H2420" s="10"/>
      <c r="I2420" s="10"/>
      <c r="J2420" s="10"/>
      <c r="K2420" s="10"/>
      <c r="L2420" s="10"/>
      <c r="M2420" s="10"/>
      <c r="N2420" s="10"/>
      <c r="O2420" s="3"/>
      <c r="P2420" s="10"/>
    </row>
    <row r="2421" spans="1:16" x14ac:dyDescent="0.15">
      <c r="A2421" s="10"/>
      <c r="B2421" s="3"/>
      <c r="C2421" s="10"/>
      <c r="D2421" s="10"/>
      <c r="E2421" s="10"/>
      <c r="F2421" s="10"/>
      <c r="G2421" s="10"/>
      <c r="H2421" s="10"/>
      <c r="I2421" s="10"/>
      <c r="J2421" s="10"/>
      <c r="K2421" s="10"/>
      <c r="L2421" s="10"/>
      <c r="M2421" s="10"/>
      <c r="N2421" s="10"/>
      <c r="O2421" s="3"/>
      <c r="P2421" s="10"/>
    </row>
    <row r="2422" spans="1:16" x14ac:dyDescent="0.15">
      <c r="A2422" s="10"/>
      <c r="B2422" s="3"/>
      <c r="C2422" s="10"/>
      <c r="D2422" s="10"/>
      <c r="E2422" s="10"/>
      <c r="F2422" s="10"/>
      <c r="G2422" s="10"/>
      <c r="H2422" s="10"/>
      <c r="I2422" s="10"/>
      <c r="J2422" s="10"/>
      <c r="K2422" s="10"/>
      <c r="L2422" s="10"/>
      <c r="M2422" s="10"/>
      <c r="N2422" s="10"/>
      <c r="O2422" s="3"/>
      <c r="P2422" s="10"/>
    </row>
    <row r="2423" spans="1:16" x14ac:dyDescent="0.15">
      <c r="A2423" s="10"/>
      <c r="B2423" s="3"/>
      <c r="C2423" s="10"/>
      <c r="D2423" s="10"/>
      <c r="E2423" s="10"/>
      <c r="F2423" s="10"/>
      <c r="G2423" s="10"/>
      <c r="H2423" s="10"/>
      <c r="I2423" s="10"/>
      <c r="J2423" s="10"/>
      <c r="K2423" s="10"/>
      <c r="L2423" s="10"/>
      <c r="M2423" s="10"/>
      <c r="N2423" s="10"/>
      <c r="O2423" s="3"/>
      <c r="P2423" s="10"/>
    </row>
    <row r="2424" spans="1:16" x14ac:dyDescent="0.15">
      <c r="A2424" s="10"/>
      <c r="B2424" s="3"/>
      <c r="C2424" s="10"/>
      <c r="D2424" s="10"/>
      <c r="E2424" s="10"/>
      <c r="F2424" s="10"/>
      <c r="G2424" s="10"/>
      <c r="H2424" s="10"/>
      <c r="I2424" s="10"/>
      <c r="J2424" s="10"/>
      <c r="K2424" s="10"/>
      <c r="L2424" s="10"/>
      <c r="M2424" s="10"/>
      <c r="N2424" s="10"/>
      <c r="O2424" s="3"/>
      <c r="P2424" s="10"/>
    </row>
    <row r="2425" spans="1:16" x14ac:dyDescent="0.15">
      <c r="A2425" s="10"/>
      <c r="B2425" s="3"/>
      <c r="C2425" s="10"/>
      <c r="D2425" s="10"/>
      <c r="E2425" s="10"/>
      <c r="F2425" s="10"/>
      <c r="G2425" s="10"/>
      <c r="H2425" s="10"/>
      <c r="I2425" s="10"/>
      <c r="J2425" s="10"/>
      <c r="K2425" s="10"/>
      <c r="L2425" s="10"/>
      <c r="M2425" s="10"/>
      <c r="N2425" s="10"/>
      <c r="O2425" s="3"/>
      <c r="P2425" s="10"/>
    </row>
    <row r="2426" spans="1:16" x14ac:dyDescent="0.15">
      <c r="A2426" s="10"/>
      <c r="B2426" s="3"/>
      <c r="C2426" s="10"/>
      <c r="D2426" s="10"/>
      <c r="E2426" s="10"/>
      <c r="F2426" s="10"/>
      <c r="G2426" s="10"/>
      <c r="H2426" s="10"/>
      <c r="I2426" s="10"/>
      <c r="J2426" s="10"/>
      <c r="K2426" s="10"/>
      <c r="L2426" s="10"/>
      <c r="M2426" s="10"/>
      <c r="N2426" s="10"/>
      <c r="O2426" s="3"/>
      <c r="P2426" s="10"/>
    </row>
    <row r="2427" spans="1:16" x14ac:dyDescent="0.15">
      <c r="A2427" s="10"/>
      <c r="B2427" s="3"/>
      <c r="C2427" s="10"/>
      <c r="D2427" s="10"/>
      <c r="E2427" s="10"/>
      <c r="F2427" s="10"/>
      <c r="G2427" s="10"/>
      <c r="H2427" s="10"/>
      <c r="I2427" s="10"/>
      <c r="J2427" s="10"/>
      <c r="K2427" s="10"/>
      <c r="L2427" s="10"/>
      <c r="M2427" s="10"/>
      <c r="N2427" s="10"/>
      <c r="O2427" s="3"/>
      <c r="P2427" s="10"/>
    </row>
    <row r="2428" spans="1:16" x14ac:dyDescent="0.15">
      <c r="A2428" s="10"/>
      <c r="B2428" s="3"/>
      <c r="C2428" s="10"/>
      <c r="D2428" s="10"/>
      <c r="E2428" s="10"/>
      <c r="F2428" s="10"/>
      <c r="G2428" s="10"/>
      <c r="H2428" s="10"/>
      <c r="I2428" s="10"/>
      <c r="J2428" s="10"/>
      <c r="K2428" s="10"/>
      <c r="L2428" s="10"/>
      <c r="M2428" s="10"/>
      <c r="N2428" s="10"/>
      <c r="O2428" s="3"/>
      <c r="P2428" s="10"/>
    </row>
    <row r="2429" spans="1:16" x14ac:dyDescent="0.15">
      <c r="A2429" s="10"/>
      <c r="B2429" s="3"/>
      <c r="C2429" s="10"/>
      <c r="D2429" s="10"/>
      <c r="E2429" s="10"/>
      <c r="F2429" s="10"/>
      <c r="G2429" s="10"/>
      <c r="H2429" s="10"/>
      <c r="I2429" s="10"/>
      <c r="J2429" s="10"/>
      <c r="K2429" s="10"/>
      <c r="L2429" s="10"/>
      <c r="M2429" s="10"/>
      <c r="N2429" s="10"/>
      <c r="O2429" s="3"/>
      <c r="P2429" s="10"/>
    </row>
    <row r="2430" spans="1:16" x14ac:dyDescent="0.15">
      <c r="A2430" s="10"/>
      <c r="B2430" s="3"/>
      <c r="C2430" s="10"/>
      <c r="D2430" s="10"/>
      <c r="E2430" s="10"/>
      <c r="F2430" s="10"/>
      <c r="G2430" s="10"/>
      <c r="H2430" s="10"/>
      <c r="I2430" s="10"/>
      <c r="J2430" s="10"/>
      <c r="K2430" s="10"/>
      <c r="L2430" s="10"/>
      <c r="M2430" s="10"/>
      <c r="N2430" s="10"/>
      <c r="O2430" s="3"/>
      <c r="P2430" s="10"/>
    </row>
    <row r="2431" spans="1:16" x14ac:dyDescent="0.15">
      <c r="A2431" s="10"/>
      <c r="B2431" s="3"/>
      <c r="C2431" s="10"/>
      <c r="D2431" s="10"/>
      <c r="E2431" s="10"/>
      <c r="F2431" s="10"/>
      <c r="G2431" s="10"/>
      <c r="H2431" s="10"/>
      <c r="I2431" s="10"/>
      <c r="J2431" s="10"/>
      <c r="K2431" s="10"/>
      <c r="L2431" s="10"/>
      <c r="M2431" s="10"/>
      <c r="N2431" s="10"/>
      <c r="O2431" s="3"/>
      <c r="P2431" s="10"/>
    </row>
    <row r="2432" spans="1:16" x14ac:dyDescent="0.15">
      <c r="A2432" s="10"/>
      <c r="B2432" s="3"/>
      <c r="C2432" s="10"/>
      <c r="D2432" s="10"/>
      <c r="E2432" s="10"/>
      <c r="F2432" s="10"/>
      <c r="G2432" s="10"/>
      <c r="H2432" s="10"/>
      <c r="I2432" s="10"/>
      <c r="J2432" s="10"/>
      <c r="K2432" s="10"/>
      <c r="L2432" s="10"/>
      <c r="M2432" s="10"/>
      <c r="N2432" s="10"/>
      <c r="O2432" s="3"/>
      <c r="P2432" s="10"/>
    </row>
    <row r="2433" spans="1:16" x14ac:dyDescent="0.15">
      <c r="A2433" s="10"/>
      <c r="B2433" s="3"/>
      <c r="C2433" s="10"/>
      <c r="D2433" s="10"/>
      <c r="E2433" s="10"/>
      <c r="F2433" s="10"/>
      <c r="G2433" s="10"/>
      <c r="H2433" s="10"/>
      <c r="I2433" s="10"/>
      <c r="J2433" s="10"/>
      <c r="K2433" s="10"/>
      <c r="L2433" s="10"/>
      <c r="M2433" s="10"/>
      <c r="N2433" s="10"/>
      <c r="O2433" s="3"/>
      <c r="P2433" s="10"/>
    </row>
    <row r="2434" spans="1:16" x14ac:dyDescent="0.15">
      <c r="A2434" s="10"/>
      <c r="B2434" s="3"/>
      <c r="C2434" s="10"/>
      <c r="D2434" s="10"/>
      <c r="E2434" s="10"/>
      <c r="F2434" s="10"/>
      <c r="G2434" s="10"/>
      <c r="H2434" s="10"/>
      <c r="I2434" s="10"/>
      <c r="J2434" s="10"/>
      <c r="K2434" s="10"/>
      <c r="L2434" s="10"/>
      <c r="M2434" s="10"/>
      <c r="N2434" s="10"/>
      <c r="O2434" s="3"/>
      <c r="P2434" s="10"/>
    </row>
    <row r="2435" spans="1:16" x14ac:dyDescent="0.15">
      <c r="A2435" s="10"/>
      <c r="B2435" s="3"/>
      <c r="C2435" s="10"/>
      <c r="D2435" s="10"/>
      <c r="E2435" s="10"/>
      <c r="F2435" s="10"/>
      <c r="G2435" s="10"/>
      <c r="H2435" s="10"/>
      <c r="I2435" s="10"/>
      <c r="J2435" s="10"/>
      <c r="K2435" s="10"/>
      <c r="L2435" s="10"/>
      <c r="M2435" s="10"/>
      <c r="N2435" s="10"/>
      <c r="O2435" s="3"/>
      <c r="P2435" s="10"/>
    </row>
    <row r="2436" spans="1:16" x14ac:dyDescent="0.15">
      <c r="A2436" s="10"/>
      <c r="B2436" s="3"/>
      <c r="C2436" s="10"/>
      <c r="D2436" s="10"/>
      <c r="E2436" s="10"/>
      <c r="F2436" s="10"/>
      <c r="G2436" s="10"/>
      <c r="H2436" s="10"/>
      <c r="I2436" s="10"/>
      <c r="J2436" s="10"/>
      <c r="K2436" s="10"/>
      <c r="L2436" s="10"/>
      <c r="M2436" s="10"/>
      <c r="N2436" s="10"/>
      <c r="O2436" s="3"/>
      <c r="P2436" s="10"/>
    </row>
    <row r="2437" spans="1:16" x14ac:dyDescent="0.15">
      <c r="A2437" s="10"/>
      <c r="B2437" s="3"/>
      <c r="C2437" s="10"/>
      <c r="D2437" s="10"/>
      <c r="E2437" s="10"/>
      <c r="F2437" s="10"/>
      <c r="G2437" s="10"/>
      <c r="H2437" s="10"/>
      <c r="I2437" s="10"/>
      <c r="J2437" s="10"/>
      <c r="K2437" s="10"/>
      <c r="L2437" s="10"/>
      <c r="M2437" s="10"/>
      <c r="N2437" s="10"/>
      <c r="O2437" s="3"/>
      <c r="P2437" s="10"/>
    </row>
    <row r="2438" spans="1:16" x14ac:dyDescent="0.15">
      <c r="A2438" s="10"/>
      <c r="B2438" s="3"/>
      <c r="C2438" s="10"/>
      <c r="D2438" s="10"/>
      <c r="E2438" s="10"/>
      <c r="F2438" s="10"/>
      <c r="G2438" s="10"/>
      <c r="H2438" s="10"/>
      <c r="I2438" s="10"/>
      <c r="J2438" s="10"/>
      <c r="K2438" s="10"/>
      <c r="L2438" s="10"/>
      <c r="M2438" s="10"/>
      <c r="N2438" s="10"/>
      <c r="O2438" s="3"/>
      <c r="P2438" s="10"/>
    </row>
    <row r="2439" spans="1:16" x14ac:dyDescent="0.15">
      <c r="A2439" s="10"/>
      <c r="B2439" s="3"/>
      <c r="C2439" s="10"/>
      <c r="D2439" s="10"/>
      <c r="E2439" s="10"/>
      <c r="F2439" s="10"/>
      <c r="G2439" s="10"/>
      <c r="H2439" s="10"/>
      <c r="I2439" s="10"/>
      <c r="J2439" s="10"/>
      <c r="K2439" s="10"/>
      <c r="L2439" s="10"/>
      <c r="M2439" s="10"/>
      <c r="N2439" s="10"/>
      <c r="O2439" s="3"/>
      <c r="P2439" s="10"/>
    </row>
    <row r="2440" spans="1:16" x14ac:dyDescent="0.15">
      <c r="A2440" s="10"/>
      <c r="B2440" s="3"/>
      <c r="C2440" s="10"/>
      <c r="D2440" s="10"/>
      <c r="E2440" s="10"/>
      <c r="F2440" s="10"/>
      <c r="G2440" s="10"/>
      <c r="H2440" s="10"/>
      <c r="I2440" s="10"/>
      <c r="J2440" s="10"/>
      <c r="K2440" s="10"/>
      <c r="L2440" s="10"/>
      <c r="M2440" s="10"/>
      <c r="N2440" s="10"/>
      <c r="O2440" s="3"/>
      <c r="P2440" s="10"/>
    </row>
    <row r="2441" spans="1:16" x14ac:dyDescent="0.15">
      <c r="A2441" s="10"/>
      <c r="B2441" s="3"/>
      <c r="C2441" s="10"/>
      <c r="D2441" s="10"/>
      <c r="E2441" s="10"/>
      <c r="F2441" s="10"/>
      <c r="G2441" s="10"/>
      <c r="H2441" s="10"/>
      <c r="I2441" s="10"/>
      <c r="J2441" s="10"/>
      <c r="K2441" s="10"/>
      <c r="L2441" s="10"/>
      <c r="M2441" s="10"/>
      <c r="N2441" s="10"/>
      <c r="O2441" s="3"/>
      <c r="P2441" s="10"/>
    </row>
    <row r="2442" spans="1:16" x14ac:dyDescent="0.15">
      <c r="A2442" s="10"/>
      <c r="B2442" s="3"/>
      <c r="C2442" s="10"/>
      <c r="D2442" s="10"/>
      <c r="E2442" s="10"/>
      <c r="F2442" s="10"/>
      <c r="G2442" s="10"/>
      <c r="H2442" s="10"/>
      <c r="I2442" s="10"/>
      <c r="J2442" s="10"/>
      <c r="K2442" s="10"/>
      <c r="L2442" s="10"/>
      <c r="M2442" s="10"/>
      <c r="N2442" s="10"/>
      <c r="O2442" s="3"/>
      <c r="P2442" s="10"/>
    </row>
    <row r="2443" spans="1:16" x14ac:dyDescent="0.15">
      <c r="A2443" s="10"/>
      <c r="B2443" s="3"/>
      <c r="C2443" s="10"/>
      <c r="D2443" s="10"/>
      <c r="E2443" s="10"/>
      <c r="F2443" s="10"/>
      <c r="G2443" s="10"/>
      <c r="H2443" s="10"/>
      <c r="I2443" s="10"/>
      <c r="J2443" s="10"/>
      <c r="K2443" s="10"/>
      <c r="L2443" s="10"/>
      <c r="M2443" s="10"/>
      <c r="N2443" s="10"/>
      <c r="O2443" s="3"/>
      <c r="P2443" s="10"/>
    </row>
    <row r="2444" spans="1:16" x14ac:dyDescent="0.15">
      <c r="A2444" s="10"/>
      <c r="B2444" s="3"/>
      <c r="C2444" s="10"/>
      <c r="D2444" s="10"/>
      <c r="E2444" s="10"/>
      <c r="F2444" s="10"/>
      <c r="G2444" s="10"/>
      <c r="H2444" s="10"/>
      <c r="I2444" s="10"/>
      <c r="J2444" s="10"/>
      <c r="K2444" s="10"/>
      <c r="L2444" s="10"/>
      <c r="M2444" s="10"/>
      <c r="N2444" s="10"/>
      <c r="O2444" s="3"/>
      <c r="P2444" s="10"/>
    </row>
    <row r="2445" spans="1:16" x14ac:dyDescent="0.15">
      <c r="A2445" s="10"/>
      <c r="B2445" s="3"/>
      <c r="C2445" s="10"/>
      <c r="D2445" s="10"/>
      <c r="E2445" s="10"/>
      <c r="F2445" s="10"/>
      <c r="G2445" s="10"/>
      <c r="H2445" s="10"/>
      <c r="I2445" s="10"/>
      <c r="J2445" s="10"/>
      <c r="K2445" s="10"/>
      <c r="L2445" s="10"/>
      <c r="M2445" s="10"/>
      <c r="N2445" s="10"/>
      <c r="O2445" s="3"/>
      <c r="P2445" s="10"/>
    </row>
    <row r="2446" spans="1:16" x14ac:dyDescent="0.15">
      <c r="A2446" s="10"/>
      <c r="B2446" s="3"/>
      <c r="C2446" s="10"/>
      <c r="D2446" s="10"/>
      <c r="E2446" s="10"/>
      <c r="F2446" s="10"/>
      <c r="G2446" s="10"/>
      <c r="H2446" s="10"/>
      <c r="I2446" s="10"/>
      <c r="J2446" s="10"/>
      <c r="K2446" s="10"/>
      <c r="L2446" s="10"/>
      <c r="M2446" s="10"/>
      <c r="N2446" s="10"/>
      <c r="O2446" s="3"/>
      <c r="P2446" s="10"/>
    </row>
    <row r="2447" spans="1:16" x14ac:dyDescent="0.15">
      <c r="A2447" s="10"/>
      <c r="B2447" s="3"/>
      <c r="C2447" s="10"/>
      <c r="D2447" s="10"/>
      <c r="E2447" s="10"/>
      <c r="F2447" s="10"/>
      <c r="G2447" s="10"/>
      <c r="H2447" s="10"/>
      <c r="I2447" s="10"/>
      <c r="J2447" s="10"/>
      <c r="K2447" s="10"/>
      <c r="L2447" s="10"/>
      <c r="M2447" s="10"/>
      <c r="N2447" s="10"/>
      <c r="O2447" s="3"/>
      <c r="P2447" s="10"/>
    </row>
    <row r="2448" spans="1:16" x14ac:dyDescent="0.15">
      <c r="A2448" s="10"/>
      <c r="B2448" s="3"/>
      <c r="C2448" s="10"/>
      <c r="D2448" s="10"/>
      <c r="E2448" s="10"/>
      <c r="F2448" s="10"/>
      <c r="G2448" s="10"/>
      <c r="H2448" s="10"/>
      <c r="I2448" s="10"/>
      <c r="J2448" s="10"/>
      <c r="K2448" s="10"/>
      <c r="L2448" s="10"/>
      <c r="M2448" s="10"/>
      <c r="N2448" s="10"/>
      <c r="O2448" s="3"/>
      <c r="P2448" s="10"/>
    </row>
    <row r="2449" spans="1:16" x14ac:dyDescent="0.15">
      <c r="A2449" s="10"/>
      <c r="B2449" s="3"/>
      <c r="C2449" s="10"/>
      <c r="D2449" s="10"/>
      <c r="E2449" s="10"/>
      <c r="F2449" s="10"/>
      <c r="G2449" s="10"/>
      <c r="H2449" s="10"/>
      <c r="I2449" s="10"/>
      <c r="J2449" s="10"/>
      <c r="K2449" s="10"/>
      <c r="L2449" s="10"/>
      <c r="M2449" s="10"/>
      <c r="N2449" s="10"/>
      <c r="O2449" s="3"/>
      <c r="P2449" s="10"/>
    </row>
    <row r="2450" spans="1:16" x14ac:dyDescent="0.15">
      <c r="A2450" s="10"/>
      <c r="B2450" s="3"/>
      <c r="C2450" s="10"/>
      <c r="D2450" s="10"/>
      <c r="E2450" s="10"/>
      <c r="F2450" s="10"/>
      <c r="G2450" s="10"/>
      <c r="H2450" s="10"/>
      <c r="I2450" s="10"/>
      <c r="J2450" s="10"/>
      <c r="K2450" s="10"/>
      <c r="L2450" s="10"/>
      <c r="M2450" s="10"/>
      <c r="N2450" s="10"/>
      <c r="O2450" s="3"/>
      <c r="P2450" s="10"/>
    </row>
    <row r="2451" spans="1:16" x14ac:dyDescent="0.15">
      <c r="A2451" s="10"/>
      <c r="B2451" s="3"/>
      <c r="C2451" s="10"/>
      <c r="D2451" s="10"/>
      <c r="E2451" s="10"/>
      <c r="F2451" s="10"/>
      <c r="G2451" s="10"/>
      <c r="H2451" s="10"/>
      <c r="I2451" s="10"/>
      <c r="J2451" s="10"/>
      <c r="K2451" s="10"/>
      <c r="L2451" s="10"/>
      <c r="M2451" s="10"/>
      <c r="N2451" s="10"/>
      <c r="O2451" s="3"/>
      <c r="P2451" s="10"/>
    </row>
    <row r="2452" spans="1:16" x14ac:dyDescent="0.15">
      <c r="A2452" s="10"/>
      <c r="B2452" s="3"/>
      <c r="C2452" s="10"/>
      <c r="D2452" s="10"/>
      <c r="E2452" s="10"/>
      <c r="F2452" s="10"/>
      <c r="G2452" s="10"/>
      <c r="H2452" s="10"/>
      <c r="I2452" s="10"/>
      <c r="J2452" s="10"/>
      <c r="K2452" s="10"/>
      <c r="L2452" s="10"/>
      <c r="M2452" s="10"/>
      <c r="N2452" s="10"/>
      <c r="O2452" s="3"/>
      <c r="P2452" s="10"/>
    </row>
    <row r="2453" spans="1:16" x14ac:dyDescent="0.15">
      <c r="A2453" s="10"/>
      <c r="B2453" s="3"/>
      <c r="C2453" s="10"/>
      <c r="D2453" s="10"/>
      <c r="E2453" s="10"/>
      <c r="F2453" s="10"/>
      <c r="G2453" s="10"/>
      <c r="H2453" s="10"/>
      <c r="I2453" s="10"/>
      <c r="J2453" s="10"/>
      <c r="K2453" s="10"/>
      <c r="L2453" s="10"/>
      <c r="M2453" s="10"/>
      <c r="N2453" s="10"/>
      <c r="O2453" s="3"/>
      <c r="P2453" s="10"/>
    </row>
    <row r="2454" spans="1:16" x14ac:dyDescent="0.15">
      <c r="A2454" s="10"/>
      <c r="B2454" s="3"/>
      <c r="C2454" s="10"/>
      <c r="D2454" s="10"/>
      <c r="E2454" s="10"/>
      <c r="F2454" s="10"/>
      <c r="G2454" s="10"/>
      <c r="H2454" s="10"/>
      <c r="I2454" s="10"/>
      <c r="J2454" s="10"/>
      <c r="K2454" s="10"/>
      <c r="L2454" s="10"/>
      <c r="M2454" s="10"/>
      <c r="N2454" s="10"/>
      <c r="O2454" s="3"/>
      <c r="P2454" s="10"/>
    </row>
    <row r="2455" spans="1:16" x14ac:dyDescent="0.15">
      <c r="A2455" s="10"/>
      <c r="B2455" s="3"/>
      <c r="C2455" s="10"/>
      <c r="D2455" s="10"/>
      <c r="E2455" s="10"/>
      <c r="F2455" s="10"/>
      <c r="G2455" s="10"/>
      <c r="H2455" s="10"/>
      <c r="I2455" s="10"/>
      <c r="J2455" s="10"/>
      <c r="K2455" s="10"/>
      <c r="L2455" s="10"/>
      <c r="M2455" s="10"/>
      <c r="N2455" s="10"/>
      <c r="O2455" s="3"/>
      <c r="P2455" s="10"/>
    </row>
    <row r="2456" spans="1:16" x14ac:dyDescent="0.15">
      <c r="A2456" s="10"/>
      <c r="B2456" s="3"/>
      <c r="C2456" s="10"/>
      <c r="D2456" s="10"/>
      <c r="E2456" s="10"/>
      <c r="F2456" s="10"/>
      <c r="G2456" s="10"/>
      <c r="H2456" s="10"/>
      <c r="I2456" s="10"/>
      <c r="J2456" s="10"/>
      <c r="K2456" s="10"/>
      <c r="L2456" s="10"/>
      <c r="M2456" s="10"/>
      <c r="N2456" s="10"/>
      <c r="O2456" s="3"/>
      <c r="P2456" s="10"/>
    </row>
    <row r="2457" spans="1:16" x14ac:dyDescent="0.15">
      <c r="A2457" s="10"/>
      <c r="B2457" s="3"/>
      <c r="C2457" s="10"/>
      <c r="D2457" s="10"/>
      <c r="E2457" s="10"/>
      <c r="F2457" s="10"/>
      <c r="G2457" s="10"/>
      <c r="H2457" s="10"/>
      <c r="I2457" s="10"/>
      <c r="J2457" s="10"/>
      <c r="K2457" s="10"/>
      <c r="L2457" s="10"/>
      <c r="M2457" s="10"/>
      <c r="N2457" s="10"/>
      <c r="O2457" s="3"/>
      <c r="P2457" s="10"/>
    </row>
    <row r="2458" spans="1:16" x14ac:dyDescent="0.15">
      <c r="A2458" s="10"/>
      <c r="B2458" s="3"/>
      <c r="C2458" s="10"/>
      <c r="D2458" s="10"/>
      <c r="E2458" s="10"/>
      <c r="F2458" s="10"/>
      <c r="G2458" s="10"/>
      <c r="H2458" s="10"/>
      <c r="I2458" s="10"/>
      <c r="J2458" s="10"/>
      <c r="K2458" s="10"/>
      <c r="L2458" s="10"/>
      <c r="M2458" s="10"/>
      <c r="N2458" s="10"/>
      <c r="O2458" s="3"/>
      <c r="P2458" s="10"/>
    </row>
    <row r="2459" spans="1:16" x14ac:dyDescent="0.15">
      <c r="A2459" s="10"/>
      <c r="B2459" s="3"/>
      <c r="C2459" s="10"/>
      <c r="D2459" s="10"/>
      <c r="E2459" s="10"/>
      <c r="F2459" s="10"/>
      <c r="G2459" s="10"/>
      <c r="H2459" s="10"/>
      <c r="I2459" s="10"/>
      <c r="J2459" s="10"/>
      <c r="K2459" s="10"/>
      <c r="L2459" s="10"/>
      <c r="M2459" s="10"/>
      <c r="N2459" s="10"/>
      <c r="O2459" s="3"/>
      <c r="P2459" s="10"/>
    </row>
    <row r="2460" spans="1:16" x14ac:dyDescent="0.15">
      <c r="A2460" s="10"/>
      <c r="B2460" s="3"/>
      <c r="C2460" s="10"/>
      <c r="D2460" s="10"/>
      <c r="E2460" s="10"/>
      <c r="F2460" s="10"/>
      <c r="G2460" s="10"/>
      <c r="H2460" s="10"/>
      <c r="I2460" s="10"/>
      <c r="J2460" s="10"/>
      <c r="K2460" s="10"/>
      <c r="L2460" s="10"/>
      <c r="M2460" s="10"/>
      <c r="N2460" s="10"/>
      <c r="O2460" s="3"/>
      <c r="P2460" s="10"/>
    </row>
    <row r="2461" spans="1:16" x14ac:dyDescent="0.15">
      <c r="A2461" s="10"/>
      <c r="B2461" s="3"/>
      <c r="C2461" s="10"/>
      <c r="D2461" s="10"/>
      <c r="E2461" s="10"/>
      <c r="F2461" s="10"/>
      <c r="G2461" s="10"/>
      <c r="H2461" s="10"/>
      <c r="I2461" s="10"/>
      <c r="J2461" s="10"/>
      <c r="K2461" s="10"/>
      <c r="L2461" s="10"/>
      <c r="M2461" s="10"/>
      <c r="N2461" s="10"/>
      <c r="O2461" s="3"/>
      <c r="P2461" s="10"/>
    </row>
    <row r="2462" spans="1:16" x14ac:dyDescent="0.15">
      <c r="A2462" s="10"/>
      <c r="B2462" s="3"/>
      <c r="C2462" s="10"/>
      <c r="D2462" s="10"/>
      <c r="E2462" s="10"/>
      <c r="F2462" s="10"/>
      <c r="G2462" s="10"/>
      <c r="H2462" s="10"/>
      <c r="I2462" s="10"/>
      <c r="J2462" s="10"/>
      <c r="K2462" s="10"/>
      <c r="L2462" s="10"/>
      <c r="M2462" s="10"/>
      <c r="N2462" s="10"/>
      <c r="O2462" s="3"/>
      <c r="P2462" s="10"/>
    </row>
    <row r="2463" spans="1:16" x14ac:dyDescent="0.15">
      <c r="A2463" s="10"/>
      <c r="B2463" s="3"/>
      <c r="C2463" s="10"/>
      <c r="D2463" s="10"/>
      <c r="E2463" s="10"/>
      <c r="F2463" s="10"/>
      <c r="G2463" s="10"/>
      <c r="H2463" s="10"/>
      <c r="I2463" s="10"/>
      <c r="J2463" s="10"/>
      <c r="K2463" s="10"/>
      <c r="L2463" s="10"/>
      <c r="M2463" s="10"/>
      <c r="N2463" s="10"/>
      <c r="O2463" s="3"/>
      <c r="P2463" s="10"/>
    </row>
    <row r="2464" spans="1:16" x14ac:dyDescent="0.15">
      <c r="A2464" s="10"/>
      <c r="B2464" s="3"/>
      <c r="C2464" s="10"/>
      <c r="D2464" s="10"/>
      <c r="E2464" s="10"/>
      <c r="F2464" s="10"/>
      <c r="G2464" s="10"/>
      <c r="H2464" s="10"/>
      <c r="I2464" s="10"/>
      <c r="J2464" s="10"/>
      <c r="K2464" s="10"/>
      <c r="L2464" s="10"/>
      <c r="M2464" s="10"/>
      <c r="N2464" s="10"/>
      <c r="O2464" s="3"/>
      <c r="P2464" s="10"/>
    </row>
    <row r="2465" spans="1:16" x14ac:dyDescent="0.15">
      <c r="A2465" s="10"/>
      <c r="B2465" s="3"/>
      <c r="C2465" s="10"/>
      <c r="D2465" s="10"/>
      <c r="E2465" s="10"/>
      <c r="F2465" s="10"/>
      <c r="G2465" s="10"/>
      <c r="H2465" s="10"/>
      <c r="I2465" s="10"/>
      <c r="J2465" s="10"/>
      <c r="K2465" s="10"/>
      <c r="L2465" s="10"/>
      <c r="M2465" s="10"/>
      <c r="N2465" s="10"/>
      <c r="O2465" s="3"/>
      <c r="P2465" s="10"/>
    </row>
    <row r="2466" spans="1:16" x14ac:dyDescent="0.15">
      <c r="A2466" s="10"/>
      <c r="B2466" s="3"/>
      <c r="C2466" s="10"/>
      <c r="D2466" s="10"/>
      <c r="E2466" s="10"/>
      <c r="F2466" s="10"/>
      <c r="G2466" s="10"/>
      <c r="H2466" s="10"/>
      <c r="I2466" s="10"/>
      <c r="J2466" s="10"/>
      <c r="K2466" s="10"/>
      <c r="L2466" s="10"/>
      <c r="M2466" s="10"/>
      <c r="N2466" s="10"/>
      <c r="O2466" s="3"/>
      <c r="P2466" s="10"/>
    </row>
    <row r="2467" spans="1:16" x14ac:dyDescent="0.15">
      <c r="A2467" s="10"/>
      <c r="B2467" s="3"/>
      <c r="C2467" s="10"/>
      <c r="D2467" s="10"/>
      <c r="E2467" s="10"/>
      <c r="F2467" s="10"/>
      <c r="G2467" s="10"/>
      <c r="H2467" s="10"/>
      <c r="I2467" s="10"/>
      <c r="J2467" s="10"/>
      <c r="K2467" s="10"/>
      <c r="L2467" s="10"/>
      <c r="M2467" s="10"/>
      <c r="N2467" s="10"/>
      <c r="O2467" s="3"/>
      <c r="P2467" s="10"/>
    </row>
    <row r="2468" spans="1:16" x14ac:dyDescent="0.15">
      <c r="A2468" s="10"/>
      <c r="B2468" s="3"/>
      <c r="C2468" s="10"/>
      <c r="D2468" s="10"/>
      <c r="E2468" s="10"/>
      <c r="F2468" s="10"/>
      <c r="G2468" s="10"/>
      <c r="H2468" s="10"/>
      <c r="I2468" s="10"/>
      <c r="J2468" s="10"/>
      <c r="K2468" s="10"/>
      <c r="L2468" s="10"/>
      <c r="M2468" s="10"/>
      <c r="N2468" s="10"/>
      <c r="O2468" s="3"/>
      <c r="P2468" s="10"/>
    </row>
    <row r="2469" spans="1:16" x14ac:dyDescent="0.15">
      <c r="A2469" s="10"/>
      <c r="B2469" s="3"/>
      <c r="C2469" s="10"/>
      <c r="D2469" s="10"/>
      <c r="E2469" s="10"/>
      <c r="F2469" s="10"/>
      <c r="G2469" s="10"/>
      <c r="H2469" s="10"/>
      <c r="I2469" s="10"/>
      <c r="J2469" s="10"/>
      <c r="K2469" s="10"/>
      <c r="L2469" s="10"/>
      <c r="M2469" s="10"/>
      <c r="N2469" s="10"/>
      <c r="O2469" s="3"/>
      <c r="P2469" s="10"/>
    </row>
    <row r="2470" spans="1:16" x14ac:dyDescent="0.15">
      <c r="A2470" s="10"/>
      <c r="B2470" s="3"/>
      <c r="C2470" s="10"/>
      <c r="D2470" s="10"/>
      <c r="E2470" s="10"/>
      <c r="F2470" s="10"/>
      <c r="G2470" s="10"/>
      <c r="H2470" s="10"/>
      <c r="I2470" s="10"/>
      <c r="J2470" s="10"/>
      <c r="K2470" s="10"/>
      <c r="L2470" s="10"/>
      <c r="M2470" s="10"/>
      <c r="N2470" s="10"/>
      <c r="O2470" s="3"/>
      <c r="P2470" s="10"/>
    </row>
    <row r="2471" spans="1:16" x14ac:dyDescent="0.15">
      <c r="A2471" s="10"/>
      <c r="B2471" s="3"/>
      <c r="C2471" s="10"/>
      <c r="D2471" s="10"/>
      <c r="E2471" s="10"/>
      <c r="F2471" s="10"/>
      <c r="G2471" s="10"/>
      <c r="H2471" s="10"/>
      <c r="I2471" s="10"/>
      <c r="J2471" s="10"/>
      <c r="K2471" s="10"/>
      <c r="L2471" s="10"/>
      <c r="M2471" s="10"/>
      <c r="N2471" s="10"/>
      <c r="O2471" s="3"/>
      <c r="P2471" s="10"/>
    </row>
    <row r="2472" spans="1:16" x14ac:dyDescent="0.15">
      <c r="A2472" s="10"/>
      <c r="B2472" s="3"/>
      <c r="C2472" s="10"/>
      <c r="D2472" s="10"/>
      <c r="E2472" s="10"/>
      <c r="F2472" s="10"/>
      <c r="G2472" s="10"/>
      <c r="H2472" s="10"/>
      <c r="I2472" s="10"/>
      <c r="J2472" s="10"/>
      <c r="K2472" s="10"/>
      <c r="L2472" s="10"/>
      <c r="M2472" s="10"/>
      <c r="N2472" s="10"/>
      <c r="O2472" s="3"/>
      <c r="P2472" s="10"/>
    </row>
    <row r="2473" spans="1:16" x14ac:dyDescent="0.15">
      <c r="A2473" s="10"/>
      <c r="B2473" s="3"/>
      <c r="C2473" s="10"/>
      <c r="D2473" s="10"/>
      <c r="E2473" s="10"/>
      <c r="F2473" s="10"/>
      <c r="G2473" s="10"/>
      <c r="H2473" s="10"/>
      <c r="I2473" s="10"/>
      <c r="J2473" s="10"/>
      <c r="K2473" s="10"/>
      <c r="L2473" s="10"/>
      <c r="M2473" s="10"/>
      <c r="N2473" s="10"/>
      <c r="O2473" s="3"/>
      <c r="P2473" s="10"/>
    </row>
    <row r="2474" spans="1:16" x14ac:dyDescent="0.15">
      <c r="A2474" s="10"/>
      <c r="B2474" s="3"/>
      <c r="C2474" s="10"/>
      <c r="D2474" s="10"/>
      <c r="E2474" s="10"/>
      <c r="F2474" s="10"/>
      <c r="G2474" s="10"/>
      <c r="H2474" s="10"/>
      <c r="I2474" s="10"/>
      <c r="J2474" s="10"/>
      <c r="K2474" s="10"/>
      <c r="L2474" s="10"/>
      <c r="M2474" s="10"/>
      <c r="N2474" s="10"/>
      <c r="O2474" s="3"/>
      <c r="P2474" s="10"/>
    </row>
    <row r="2475" spans="1:16" x14ac:dyDescent="0.15">
      <c r="A2475" s="10"/>
      <c r="B2475" s="3"/>
      <c r="C2475" s="10"/>
      <c r="D2475" s="10"/>
      <c r="E2475" s="10"/>
      <c r="F2475" s="10"/>
      <c r="G2475" s="10"/>
      <c r="H2475" s="10"/>
      <c r="I2475" s="10"/>
      <c r="J2475" s="10"/>
      <c r="K2475" s="10"/>
      <c r="L2475" s="10"/>
      <c r="M2475" s="10"/>
      <c r="N2475" s="10"/>
      <c r="O2475" s="3"/>
      <c r="P2475" s="10"/>
    </row>
    <row r="2476" spans="1:16" x14ac:dyDescent="0.15">
      <c r="A2476" s="10"/>
      <c r="B2476" s="3"/>
      <c r="C2476" s="10"/>
      <c r="D2476" s="10"/>
      <c r="E2476" s="10"/>
      <c r="F2476" s="10"/>
      <c r="G2476" s="10"/>
      <c r="H2476" s="10"/>
      <c r="I2476" s="10"/>
      <c r="J2476" s="10"/>
      <c r="K2476" s="10"/>
      <c r="L2476" s="10"/>
      <c r="M2476" s="10"/>
      <c r="N2476" s="10"/>
      <c r="O2476" s="3"/>
      <c r="P2476" s="10"/>
    </row>
    <row r="2477" spans="1:16" x14ac:dyDescent="0.15">
      <c r="A2477" s="10"/>
      <c r="B2477" s="3"/>
      <c r="C2477" s="10"/>
      <c r="D2477" s="10"/>
      <c r="E2477" s="10"/>
      <c r="F2477" s="10"/>
      <c r="G2477" s="10"/>
      <c r="H2477" s="10"/>
      <c r="I2477" s="10"/>
      <c r="J2477" s="10"/>
      <c r="K2477" s="10"/>
      <c r="L2477" s="10"/>
      <c r="M2477" s="10"/>
      <c r="N2477" s="10"/>
      <c r="O2477" s="3"/>
      <c r="P2477" s="10"/>
    </row>
    <row r="2478" spans="1:16" x14ac:dyDescent="0.15">
      <c r="A2478" s="10"/>
      <c r="B2478" s="3"/>
      <c r="C2478" s="10"/>
      <c r="D2478" s="10"/>
      <c r="E2478" s="10"/>
      <c r="F2478" s="10"/>
      <c r="G2478" s="10"/>
      <c r="H2478" s="10"/>
      <c r="I2478" s="10"/>
      <c r="J2478" s="10"/>
      <c r="K2478" s="10"/>
      <c r="L2478" s="10"/>
      <c r="M2478" s="10"/>
      <c r="N2478" s="10"/>
      <c r="O2478" s="3"/>
      <c r="P2478" s="10"/>
    </row>
    <row r="2479" spans="1:16" x14ac:dyDescent="0.15">
      <c r="A2479" s="10"/>
      <c r="B2479" s="3"/>
      <c r="C2479" s="10"/>
      <c r="D2479" s="10"/>
      <c r="E2479" s="10"/>
      <c r="F2479" s="10"/>
      <c r="G2479" s="10"/>
      <c r="H2479" s="10"/>
      <c r="I2479" s="10"/>
      <c r="J2479" s="10"/>
      <c r="K2479" s="10"/>
      <c r="L2479" s="10"/>
      <c r="M2479" s="10"/>
      <c r="N2479" s="10"/>
      <c r="O2479" s="3"/>
      <c r="P2479" s="10"/>
    </row>
    <row r="2480" spans="1:16" x14ac:dyDescent="0.15">
      <c r="A2480" s="10"/>
      <c r="B2480" s="3"/>
      <c r="C2480" s="10"/>
      <c r="D2480" s="10"/>
      <c r="E2480" s="10"/>
      <c r="F2480" s="10"/>
      <c r="G2480" s="10"/>
      <c r="H2480" s="10"/>
      <c r="I2480" s="10"/>
      <c r="J2480" s="10"/>
      <c r="K2480" s="10"/>
      <c r="L2480" s="10"/>
      <c r="M2480" s="10"/>
      <c r="N2480" s="10"/>
      <c r="O2480" s="3"/>
      <c r="P2480" s="10"/>
    </row>
    <row r="2481" spans="1:16" x14ac:dyDescent="0.15">
      <c r="A2481" s="10"/>
      <c r="B2481" s="3"/>
      <c r="C2481" s="10"/>
      <c r="D2481" s="10"/>
      <c r="E2481" s="10"/>
      <c r="F2481" s="10"/>
      <c r="G2481" s="10"/>
      <c r="H2481" s="10"/>
      <c r="I2481" s="10"/>
      <c r="J2481" s="10"/>
      <c r="K2481" s="10"/>
      <c r="L2481" s="10"/>
      <c r="M2481" s="10"/>
      <c r="N2481" s="10"/>
      <c r="O2481" s="3"/>
      <c r="P2481" s="10"/>
    </row>
    <row r="2482" spans="1:16" x14ac:dyDescent="0.15">
      <c r="A2482" s="10"/>
      <c r="B2482" s="3"/>
      <c r="C2482" s="10"/>
      <c r="D2482" s="10"/>
      <c r="E2482" s="10"/>
      <c r="F2482" s="10"/>
      <c r="G2482" s="10"/>
      <c r="H2482" s="10"/>
      <c r="I2482" s="10"/>
      <c r="J2482" s="10"/>
      <c r="K2482" s="10"/>
      <c r="L2482" s="10"/>
      <c r="M2482" s="10"/>
      <c r="N2482" s="10"/>
      <c r="O2482" s="3"/>
      <c r="P2482" s="10"/>
    </row>
    <row r="2483" spans="1:16" x14ac:dyDescent="0.15">
      <c r="A2483" s="10"/>
      <c r="B2483" s="3"/>
      <c r="C2483" s="10"/>
      <c r="D2483" s="10"/>
      <c r="E2483" s="10"/>
      <c r="F2483" s="10"/>
      <c r="G2483" s="10"/>
      <c r="H2483" s="10"/>
      <c r="I2483" s="10"/>
      <c r="J2483" s="10"/>
      <c r="K2483" s="10"/>
      <c r="L2483" s="10"/>
      <c r="M2483" s="10"/>
      <c r="N2483" s="10"/>
      <c r="O2483" s="3"/>
      <c r="P2483" s="10"/>
    </row>
    <row r="2484" spans="1:16" x14ac:dyDescent="0.15">
      <c r="A2484" s="10"/>
      <c r="B2484" s="3"/>
      <c r="C2484" s="10"/>
      <c r="D2484" s="10"/>
      <c r="E2484" s="10"/>
      <c r="F2484" s="10"/>
      <c r="G2484" s="10"/>
      <c r="H2484" s="10"/>
      <c r="I2484" s="10"/>
      <c r="J2484" s="10"/>
      <c r="K2484" s="10"/>
      <c r="L2484" s="10"/>
      <c r="M2484" s="10"/>
      <c r="N2484" s="10"/>
      <c r="O2484" s="3"/>
      <c r="P2484" s="10"/>
    </row>
    <row r="2485" spans="1:16" x14ac:dyDescent="0.15">
      <c r="A2485" s="10"/>
      <c r="B2485" s="3"/>
      <c r="C2485" s="10"/>
      <c r="D2485" s="10"/>
      <c r="E2485" s="10"/>
      <c r="F2485" s="10"/>
      <c r="G2485" s="10"/>
      <c r="H2485" s="10"/>
      <c r="I2485" s="10"/>
      <c r="J2485" s="10"/>
      <c r="K2485" s="10"/>
      <c r="L2485" s="10"/>
      <c r="M2485" s="10"/>
      <c r="N2485" s="10"/>
      <c r="O2485" s="3"/>
      <c r="P2485" s="10"/>
    </row>
    <row r="2486" spans="1:16" x14ac:dyDescent="0.15">
      <c r="A2486" s="10"/>
      <c r="B2486" s="3"/>
      <c r="C2486" s="10"/>
      <c r="D2486" s="10"/>
      <c r="E2486" s="10"/>
      <c r="F2486" s="10"/>
      <c r="G2486" s="10"/>
      <c r="H2486" s="10"/>
      <c r="I2486" s="10"/>
      <c r="J2486" s="10"/>
      <c r="K2486" s="10"/>
      <c r="L2486" s="10"/>
      <c r="M2486" s="10"/>
      <c r="N2486" s="10"/>
      <c r="O2486" s="3"/>
      <c r="P2486" s="10"/>
    </row>
    <row r="2487" spans="1:16" x14ac:dyDescent="0.15">
      <c r="A2487" s="10"/>
      <c r="B2487" s="3"/>
      <c r="C2487" s="10"/>
      <c r="D2487" s="10"/>
      <c r="E2487" s="10"/>
      <c r="F2487" s="10"/>
      <c r="G2487" s="10"/>
      <c r="H2487" s="10"/>
      <c r="I2487" s="10"/>
      <c r="J2487" s="10"/>
      <c r="K2487" s="10"/>
      <c r="L2487" s="10"/>
      <c r="M2487" s="10"/>
      <c r="N2487" s="10"/>
      <c r="O2487" s="3"/>
      <c r="P2487" s="10"/>
    </row>
    <row r="2488" spans="1:16" x14ac:dyDescent="0.15">
      <c r="A2488" s="10"/>
      <c r="B2488" s="3"/>
      <c r="C2488" s="10"/>
      <c r="D2488" s="10"/>
      <c r="E2488" s="10"/>
      <c r="F2488" s="10"/>
      <c r="G2488" s="10"/>
      <c r="H2488" s="10"/>
      <c r="I2488" s="10"/>
      <c r="J2488" s="10"/>
      <c r="K2488" s="10"/>
      <c r="L2488" s="10"/>
      <c r="M2488" s="10"/>
      <c r="N2488" s="10"/>
      <c r="O2488" s="3"/>
      <c r="P2488" s="10"/>
    </row>
    <row r="2489" spans="1:16" x14ac:dyDescent="0.15">
      <c r="A2489" s="10"/>
      <c r="B2489" s="3"/>
      <c r="C2489" s="10"/>
      <c r="D2489" s="10"/>
      <c r="E2489" s="10"/>
      <c r="F2489" s="10"/>
      <c r="G2489" s="10"/>
      <c r="H2489" s="10"/>
      <c r="I2489" s="10"/>
      <c r="J2489" s="10"/>
      <c r="K2489" s="10"/>
      <c r="L2489" s="10"/>
      <c r="M2489" s="10"/>
      <c r="N2489" s="10"/>
      <c r="O2489" s="3"/>
      <c r="P2489" s="10"/>
    </row>
    <row r="2490" spans="1:16" x14ac:dyDescent="0.15">
      <c r="A2490" s="10"/>
      <c r="B2490" s="3"/>
      <c r="C2490" s="10"/>
      <c r="D2490" s="10"/>
      <c r="E2490" s="10"/>
      <c r="F2490" s="10"/>
      <c r="G2490" s="10"/>
      <c r="H2490" s="10"/>
      <c r="I2490" s="10"/>
      <c r="J2490" s="10"/>
      <c r="K2490" s="10"/>
      <c r="L2490" s="10"/>
      <c r="M2490" s="10"/>
      <c r="N2490" s="10"/>
      <c r="O2490" s="3"/>
      <c r="P2490" s="10"/>
    </row>
    <row r="2491" spans="1:16" x14ac:dyDescent="0.15">
      <c r="A2491" s="10"/>
      <c r="B2491" s="3"/>
      <c r="C2491" s="10"/>
      <c r="D2491" s="10"/>
      <c r="E2491" s="10"/>
      <c r="F2491" s="10"/>
      <c r="G2491" s="10"/>
      <c r="H2491" s="10"/>
      <c r="I2491" s="10"/>
      <c r="J2491" s="10"/>
      <c r="K2491" s="10"/>
      <c r="L2491" s="10"/>
      <c r="M2491" s="10"/>
      <c r="N2491" s="10"/>
      <c r="O2491" s="3"/>
      <c r="P2491" s="10"/>
    </row>
    <row r="2492" spans="1:16" x14ac:dyDescent="0.15">
      <c r="A2492" s="10"/>
      <c r="B2492" s="3"/>
      <c r="C2492" s="10"/>
      <c r="D2492" s="10"/>
      <c r="E2492" s="10"/>
      <c r="F2492" s="10"/>
      <c r="G2492" s="10"/>
      <c r="H2492" s="10"/>
      <c r="I2492" s="10"/>
      <c r="J2492" s="10"/>
      <c r="K2492" s="10"/>
      <c r="L2492" s="10"/>
      <c r="M2492" s="10"/>
      <c r="N2492" s="10"/>
      <c r="O2492" s="3"/>
      <c r="P2492" s="10"/>
    </row>
    <row r="2493" spans="1:16" x14ac:dyDescent="0.15">
      <c r="A2493" s="10"/>
      <c r="B2493" s="3"/>
      <c r="C2493" s="10"/>
      <c r="D2493" s="10"/>
      <c r="E2493" s="10"/>
      <c r="F2493" s="10"/>
      <c r="G2493" s="10"/>
      <c r="H2493" s="10"/>
      <c r="I2493" s="10"/>
      <c r="J2493" s="10"/>
      <c r="K2493" s="10"/>
      <c r="L2493" s="10"/>
      <c r="M2493" s="10"/>
      <c r="N2493" s="10"/>
      <c r="O2493" s="3"/>
      <c r="P2493" s="10"/>
    </row>
    <row r="2494" spans="1:16" x14ac:dyDescent="0.15">
      <c r="A2494" s="10"/>
      <c r="B2494" s="3"/>
      <c r="C2494" s="10"/>
      <c r="D2494" s="10"/>
      <c r="E2494" s="10"/>
      <c r="F2494" s="10"/>
      <c r="G2494" s="10"/>
      <c r="H2494" s="10"/>
      <c r="I2494" s="10"/>
      <c r="J2494" s="10"/>
      <c r="K2494" s="10"/>
      <c r="L2494" s="10"/>
      <c r="M2494" s="10"/>
      <c r="N2494" s="10"/>
      <c r="O2494" s="3"/>
      <c r="P2494" s="10"/>
    </row>
    <row r="2495" spans="1:16" x14ac:dyDescent="0.15">
      <c r="A2495" s="10"/>
      <c r="B2495" s="3"/>
      <c r="C2495" s="10"/>
      <c r="D2495" s="10"/>
      <c r="E2495" s="10"/>
      <c r="F2495" s="10"/>
      <c r="G2495" s="10"/>
      <c r="H2495" s="10"/>
      <c r="I2495" s="10"/>
      <c r="J2495" s="10"/>
      <c r="K2495" s="10"/>
      <c r="L2495" s="10"/>
      <c r="M2495" s="10"/>
      <c r="N2495" s="10"/>
      <c r="O2495" s="3"/>
      <c r="P2495" s="10"/>
    </row>
    <row r="2496" spans="1:16" x14ac:dyDescent="0.15">
      <c r="A2496" s="10"/>
      <c r="B2496" s="3"/>
      <c r="C2496" s="10"/>
      <c r="D2496" s="10"/>
      <c r="E2496" s="10"/>
      <c r="F2496" s="10"/>
      <c r="G2496" s="10"/>
      <c r="H2496" s="10"/>
      <c r="I2496" s="10"/>
      <c r="J2496" s="10"/>
      <c r="K2496" s="10"/>
      <c r="L2496" s="10"/>
      <c r="M2496" s="10"/>
      <c r="N2496" s="10"/>
      <c r="O2496" s="3"/>
      <c r="P2496" s="10"/>
    </row>
    <row r="2497" spans="1:16" x14ac:dyDescent="0.15">
      <c r="A2497" s="10"/>
      <c r="B2497" s="3"/>
      <c r="C2497" s="10"/>
      <c r="D2497" s="10"/>
      <c r="E2497" s="10"/>
      <c r="F2497" s="10"/>
      <c r="G2497" s="10"/>
      <c r="H2497" s="10"/>
      <c r="I2497" s="10"/>
      <c r="J2497" s="10"/>
      <c r="K2497" s="10"/>
      <c r="L2497" s="10"/>
      <c r="M2497" s="10"/>
      <c r="N2497" s="10"/>
      <c r="O2497" s="3"/>
      <c r="P2497" s="10"/>
    </row>
    <row r="2498" spans="1:16" x14ac:dyDescent="0.15">
      <c r="A2498" s="10"/>
      <c r="B2498" s="3"/>
      <c r="C2498" s="10"/>
      <c r="D2498" s="10"/>
      <c r="E2498" s="10"/>
      <c r="F2498" s="10"/>
      <c r="G2498" s="10"/>
      <c r="H2498" s="10"/>
      <c r="I2498" s="10"/>
      <c r="J2498" s="10"/>
      <c r="K2498" s="10"/>
      <c r="L2498" s="10"/>
      <c r="M2498" s="10"/>
      <c r="N2498" s="10"/>
      <c r="O2498" s="3"/>
      <c r="P2498" s="10"/>
    </row>
    <row r="2499" spans="1:16" x14ac:dyDescent="0.15">
      <c r="A2499" s="10"/>
      <c r="B2499" s="3"/>
      <c r="C2499" s="10"/>
      <c r="D2499" s="10"/>
      <c r="E2499" s="10"/>
      <c r="F2499" s="10"/>
      <c r="G2499" s="10"/>
      <c r="H2499" s="10"/>
      <c r="I2499" s="10"/>
      <c r="J2499" s="10"/>
      <c r="K2499" s="10"/>
      <c r="L2499" s="10"/>
      <c r="M2499" s="10"/>
      <c r="N2499" s="10"/>
      <c r="O2499" s="3"/>
      <c r="P2499" s="10"/>
    </row>
    <row r="2500" spans="1:16" x14ac:dyDescent="0.15">
      <c r="A2500" s="10"/>
      <c r="B2500" s="3"/>
      <c r="C2500" s="10"/>
      <c r="D2500" s="10"/>
      <c r="E2500" s="10"/>
      <c r="F2500" s="10"/>
      <c r="G2500" s="10"/>
      <c r="H2500" s="10"/>
      <c r="I2500" s="10"/>
      <c r="J2500" s="10"/>
      <c r="K2500" s="10"/>
      <c r="L2500" s="10"/>
      <c r="M2500" s="10"/>
      <c r="N2500" s="10"/>
      <c r="O2500" s="3"/>
      <c r="P2500" s="10"/>
    </row>
    <row r="2501" spans="1:16" x14ac:dyDescent="0.15">
      <c r="A2501" s="10"/>
      <c r="B2501" s="3"/>
      <c r="C2501" s="10"/>
      <c r="D2501" s="10"/>
      <c r="E2501" s="10"/>
      <c r="F2501" s="10"/>
      <c r="G2501" s="10"/>
      <c r="H2501" s="10"/>
      <c r="I2501" s="10"/>
      <c r="J2501" s="10"/>
      <c r="K2501" s="10"/>
      <c r="L2501" s="10"/>
      <c r="M2501" s="10"/>
      <c r="N2501" s="10"/>
      <c r="O2501" s="3"/>
      <c r="P2501" s="10"/>
    </row>
    <row r="2502" spans="1:16" x14ac:dyDescent="0.15">
      <c r="A2502" s="10"/>
      <c r="B2502" s="3"/>
      <c r="C2502" s="10"/>
      <c r="D2502" s="10"/>
      <c r="E2502" s="10"/>
      <c r="F2502" s="10"/>
      <c r="G2502" s="10"/>
      <c r="H2502" s="10"/>
      <c r="I2502" s="10"/>
      <c r="J2502" s="10"/>
      <c r="K2502" s="10"/>
      <c r="L2502" s="10"/>
      <c r="M2502" s="10"/>
      <c r="N2502" s="10"/>
      <c r="O2502" s="3"/>
      <c r="P2502" s="10"/>
    </row>
    <row r="2503" spans="1:16" x14ac:dyDescent="0.15">
      <c r="A2503" s="10"/>
      <c r="B2503" s="3"/>
      <c r="C2503" s="10"/>
      <c r="D2503" s="10"/>
      <c r="E2503" s="10"/>
      <c r="F2503" s="10"/>
      <c r="G2503" s="10"/>
      <c r="H2503" s="10"/>
      <c r="I2503" s="10"/>
      <c r="J2503" s="10"/>
      <c r="K2503" s="10"/>
      <c r="L2503" s="10"/>
      <c r="M2503" s="10"/>
      <c r="N2503" s="10"/>
      <c r="O2503" s="3"/>
      <c r="P2503" s="10"/>
    </row>
    <row r="2504" spans="1:16" x14ac:dyDescent="0.15">
      <c r="A2504" s="10"/>
      <c r="B2504" s="3"/>
      <c r="C2504" s="10"/>
      <c r="D2504" s="10"/>
      <c r="E2504" s="10"/>
      <c r="F2504" s="10"/>
      <c r="G2504" s="10"/>
      <c r="H2504" s="10"/>
      <c r="I2504" s="10"/>
      <c r="J2504" s="10"/>
      <c r="K2504" s="10"/>
      <c r="L2504" s="10"/>
      <c r="M2504" s="10"/>
      <c r="N2504" s="10"/>
      <c r="O2504" s="3"/>
      <c r="P2504" s="10"/>
    </row>
    <row r="2505" spans="1:16" x14ac:dyDescent="0.15">
      <c r="A2505" s="10"/>
      <c r="B2505" s="3"/>
      <c r="C2505" s="10"/>
      <c r="D2505" s="10"/>
      <c r="E2505" s="10"/>
      <c r="F2505" s="10"/>
      <c r="G2505" s="10"/>
      <c r="H2505" s="10"/>
      <c r="I2505" s="10"/>
      <c r="J2505" s="10"/>
      <c r="K2505" s="10"/>
      <c r="L2505" s="10"/>
      <c r="M2505" s="10"/>
      <c r="N2505" s="10"/>
      <c r="O2505" s="3"/>
      <c r="P2505" s="10"/>
    </row>
    <row r="2506" spans="1:16" x14ac:dyDescent="0.15">
      <c r="A2506" s="10"/>
      <c r="B2506" s="3"/>
      <c r="C2506" s="10"/>
      <c r="D2506" s="10"/>
      <c r="E2506" s="10"/>
      <c r="F2506" s="10"/>
      <c r="G2506" s="10"/>
      <c r="H2506" s="10"/>
      <c r="I2506" s="10"/>
      <c r="J2506" s="10"/>
      <c r="K2506" s="10"/>
      <c r="L2506" s="10"/>
      <c r="M2506" s="10"/>
      <c r="N2506" s="10"/>
      <c r="O2506" s="3"/>
      <c r="P2506" s="10"/>
    </row>
    <row r="2507" spans="1:16" x14ac:dyDescent="0.15">
      <c r="A2507" s="10"/>
      <c r="B2507" s="3"/>
      <c r="C2507" s="10"/>
      <c r="D2507" s="10"/>
      <c r="E2507" s="10"/>
      <c r="F2507" s="10"/>
      <c r="G2507" s="10"/>
      <c r="H2507" s="10"/>
      <c r="I2507" s="10"/>
      <c r="J2507" s="10"/>
      <c r="K2507" s="10"/>
      <c r="L2507" s="10"/>
      <c r="M2507" s="10"/>
      <c r="N2507" s="10"/>
      <c r="O2507" s="3"/>
      <c r="P2507" s="10"/>
    </row>
    <row r="2508" spans="1:16" x14ac:dyDescent="0.15">
      <c r="A2508" s="10"/>
      <c r="B2508" s="3"/>
      <c r="C2508" s="10"/>
      <c r="D2508" s="10"/>
      <c r="E2508" s="10"/>
      <c r="F2508" s="10"/>
      <c r="G2508" s="10"/>
      <c r="H2508" s="10"/>
      <c r="I2508" s="10"/>
      <c r="J2508" s="10"/>
      <c r="K2508" s="10"/>
      <c r="L2508" s="10"/>
      <c r="M2508" s="10"/>
      <c r="N2508" s="10"/>
      <c r="O2508" s="3"/>
      <c r="P2508" s="10"/>
    </row>
    <row r="2509" spans="1:16" x14ac:dyDescent="0.15">
      <c r="A2509" s="10"/>
      <c r="B2509" s="3"/>
      <c r="C2509" s="10"/>
      <c r="D2509" s="10"/>
      <c r="E2509" s="10"/>
      <c r="F2509" s="10"/>
      <c r="G2509" s="10"/>
      <c r="H2509" s="10"/>
      <c r="I2509" s="10"/>
      <c r="J2509" s="10"/>
      <c r="K2509" s="10"/>
      <c r="L2509" s="10"/>
      <c r="M2509" s="10"/>
      <c r="N2509" s="10"/>
      <c r="O2509" s="3"/>
      <c r="P2509" s="10"/>
    </row>
    <row r="2510" spans="1:16" x14ac:dyDescent="0.15">
      <c r="A2510" s="10"/>
      <c r="B2510" s="3"/>
      <c r="C2510" s="10"/>
      <c r="D2510" s="10"/>
      <c r="E2510" s="10"/>
      <c r="F2510" s="10"/>
      <c r="G2510" s="10"/>
      <c r="H2510" s="10"/>
      <c r="I2510" s="10"/>
      <c r="J2510" s="10"/>
      <c r="K2510" s="10"/>
      <c r="L2510" s="10"/>
      <c r="M2510" s="10"/>
      <c r="N2510" s="10"/>
      <c r="O2510" s="3"/>
      <c r="P2510" s="10"/>
    </row>
    <row r="2511" spans="1:16" x14ac:dyDescent="0.15">
      <c r="A2511" s="10"/>
      <c r="B2511" s="3"/>
      <c r="C2511" s="10"/>
      <c r="D2511" s="10"/>
      <c r="E2511" s="10"/>
      <c r="F2511" s="10"/>
      <c r="G2511" s="10"/>
      <c r="H2511" s="10"/>
      <c r="I2511" s="10"/>
      <c r="J2511" s="10"/>
      <c r="K2511" s="10"/>
      <c r="L2511" s="10"/>
      <c r="M2511" s="10"/>
      <c r="N2511" s="10"/>
      <c r="O2511" s="3"/>
      <c r="P2511" s="10"/>
    </row>
    <row r="2512" spans="1:16" x14ac:dyDescent="0.15">
      <c r="A2512" s="10"/>
      <c r="B2512" s="3"/>
      <c r="C2512" s="10"/>
      <c r="D2512" s="10"/>
      <c r="E2512" s="10"/>
      <c r="F2512" s="10"/>
      <c r="G2512" s="10"/>
      <c r="H2512" s="10"/>
      <c r="I2512" s="10"/>
      <c r="J2512" s="10"/>
      <c r="K2512" s="10"/>
      <c r="L2512" s="10"/>
      <c r="M2512" s="10"/>
      <c r="N2512" s="10"/>
      <c r="O2512" s="3"/>
      <c r="P2512" s="10"/>
    </row>
    <row r="2513" spans="1:16" x14ac:dyDescent="0.15">
      <c r="A2513" s="10"/>
      <c r="B2513" s="3"/>
      <c r="C2513" s="10"/>
      <c r="D2513" s="10"/>
      <c r="E2513" s="10"/>
      <c r="F2513" s="10"/>
      <c r="G2513" s="10"/>
      <c r="H2513" s="10"/>
      <c r="I2513" s="10"/>
      <c r="J2513" s="10"/>
      <c r="K2513" s="10"/>
      <c r="L2513" s="10"/>
      <c r="M2513" s="10"/>
      <c r="N2513" s="10"/>
      <c r="O2513" s="3"/>
      <c r="P2513" s="10"/>
    </row>
    <row r="2514" spans="1:16" x14ac:dyDescent="0.15">
      <c r="A2514" s="10"/>
      <c r="B2514" s="3"/>
      <c r="C2514" s="10"/>
      <c r="D2514" s="10"/>
      <c r="E2514" s="10"/>
      <c r="F2514" s="10"/>
      <c r="G2514" s="10"/>
      <c r="H2514" s="10"/>
      <c r="I2514" s="10"/>
      <c r="J2514" s="10"/>
      <c r="K2514" s="10"/>
      <c r="L2514" s="10"/>
      <c r="M2514" s="10"/>
      <c r="N2514" s="10"/>
      <c r="O2514" s="3"/>
      <c r="P2514" s="10"/>
    </row>
    <row r="2515" spans="1:16" x14ac:dyDescent="0.15">
      <c r="A2515" s="10"/>
      <c r="B2515" s="3"/>
      <c r="C2515" s="10"/>
      <c r="D2515" s="10"/>
      <c r="E2515" s="10"/>
      <c r="F2515" s="10"/>
      <c r="G2515" s="10"/>
      <c r="H2515" s="10"/>
      <c r="I2515" s="10"/>
      <c r="J2515" s="10"/>
      <c r="K2515" s="10"/>
      <c r="L2515" s="10"/>
      <c r="M2515" s="10"/>
      <c r="N2515" s="10"/>
      <c r="O2515" s="3"/>
      <c r="P2515" s="10"/>
    </row>
    <row r="2516" spans="1:16" x14ac:dyDescent="0.15">
      <c r="A2516" s="10"/>
      <c r="B2516" s="3"/>
      <c r="C2516" s="10"/>
      <c r="D2516" s="10"/>
      <c r="E2516" s="10"/>
      <c r="F2516" s="10"/>
      <c r="G2516" s="10"/>
      <c r="H2516" s="10"/>
      <c r="I2516" s="10"/>
      <c r="J2516" s="10"/>
      <c r="K2516" s="10"/>
      <c r="L2516" s="10"/>
      <c r="M2516" s="10"/>
      <c r="N2516" s="10"/>
      <c r="O2516" s="3"/>
      <c r="P2516" s="10"/>
    </row>
    <row r="2517" spans="1:16" x14ac:dyDescent="0.15">
      <c r="A2517" s="10"/>
      <c r="B2517" s="3"/>
      <c r="C2517" s="10"/>
      <c r="D2517" s="10"/>
      <c r="E2517" s="10"/>
      <c r="F2517" s="10"/>
      <c r="G2517" s="10"/>
      <c r="H2517" s="10"/>
      <c r="I2517" s="10"/>
      <c r="J2517" s="10"/>
      <c r="K2517" s="10"/>
      <c r="L2517" s="10"/>
      <c r="M2517" s="10"/>
      <c r="N2517" s="10"/>
      <c r="O2517" s="3"/>
      <c r="P2517" s="10"/>
    </row>
    <row r="2518" spans="1:16" x14ac:dyDescent="0.15">
      <c r="A2518" s="10"/>
      <c r="B2518" s="3"/>
      <c r="C2518" s="10"/>
      <c r="D2518" s="10"/>
      <c r="E2518" s="10"/>
      <c r="F2518" s="10"/>
      <c r="G2518" s="10"/>
      <c r="H2518" s="10"/>
      <c r="I2518" s="10"/>
      <c r="J2518" s="10"/>
      <c r="K2518" s="10"/>
      <c r="L2518" s="10"/>
      <c r="M2518" s="10"/>
      <c r="N2518" s="10"/>
      <c r="O2518" s="3"/>
      <c r="P2518" s="10"/>
    </row>
    <row r="2519" spans="1:16" x14ac:dyDescent="0.15">
      <c r="A2519" s="10"/>
      <c r="B2519" s="3"/>
      <c r="C2519" s="10"/>
      <c r="D2519" s="10"/>
      <c r="E2519" s="10"/>
      <c r="F2519" s="10"/>
      <c r="G2519" s="10"/>
      <c r="H2519" s="10"/>
      <c r="I2519" s="10"/>
      <c r="J2519" s="10"/>
      <c r="K2519" s="10"/>
      <c r="L2519" s="10"/>
      <c r="M2519" s="10"/>
      <c r="N2519" s="10"/>
      <c r="O2519" s="3"/>
      <c r="P2519" s="10"/>
    </row>
    <row r="2520" spans="1:16" x14ac:dyDescent="0.15">
      <c r="A2520" s="10"/>
      <c r="B2520" s="3"/>
      <c r="C2520" s="10"/>
      <c r="D2520" s="10"/>
      <c r="E2520" s="10"/>
      <c r="F2520" s="10"/>
      <c r="G2520" s="10"/>
      <c r="H2520" s="10"/>
      <c r="I2520" s="10"/>
      <c r="J2520" s="10"/>
      <c r="K2520" s="10"/>
      <c r="L2520" s="10"/>
      <c r="M2520" s="10"/>
      <c r="N2520" s="10"/>
      <c r="O2520" s="3"/>
      <c r="P2520" s="10"/>
    </row>
    <row r="2521" spans="1:16" x14ac:dyDescent="0.15">
      <c r="A2521" s="10"/>
      <c r="B2521" s="3"/>
      <c r="C2521" s="10"/>
      <c r="D2521" s="10"/>
      <c r="E2521" s="10"/>
      <c r="F2521" s="10"/>
      <c r="G2521" s="10"/>
      <c r="H2521" s="10"/>
      <c r="I2521" s="10"/>
      <c r="J2521" s="10"/>
      <c r="K2521" s="10"/>
      <c r="L2521" s="10"/>
      <c r="M2521" s="10"/>
      <c r="N2521" s="10"/>
      <c r="O2521" s="3"/>
      <c r="P2521" s="10"/>
    </row>
    <row r="2522" spans="1:16" x14ac:dyDescent="0.15">
      <c r="A2522" s="10"/>
      <c r="B2522" s="3"/>
      <c r="C2522" s="10"/>
      <c r="D2522" s="10"/>
      <c r="E2522" s="10"/>
      <c r="F2522" s="10"/>
      <c r="G2522" s="10"/>
      <c r="H2522" s="10"/>
      <c r="I2522" s="10"/>
      <c r="J2522" s="10"/>
      <c r="K2522" s="10"/>
      <c r="L2522" s="10"/>
      <c r="M2522" s="10"/>
      <c r="N2522" s="10"/>
      <c r="O2522" s="3"/>
      <c r="P2522" s="10"/>
    </row>
    <row r="2523" spans="1:16" x14ac:dyDescent="0.15">
      <c r="A2523" s="10"/>
      <c r="B2523" s="3"/>
      <c r="C2523" s="10"/>
      <c r="D2523" s="10"/>
      <c r="E2523" s="10"/>
      <c r="F2523" s="10"/>
      <c r="G2523" s="10"/>
      <c r="H2523" s="10"/>
      <c r="I2523" s="10"/>
      <c r="J2523" s="10"/>
      <c r="K2523" s="10"/>
      <c r="L2523" s="10"/>
      <c r="M2523" s="10"/>
      <c r="N2523" s="10"/>
      <c r="O2523" s="3"/>
      <c r="P2523" s="10"/>
    </row>
    <row r="2524" spans="1:16" x14ac:dyDescent="0.15">
      <c r="A2524" s="10"/>
      <c r="B2524" s="3"/>
      <c r="C2524" s="10"/>
      <c r="D2524" s="10"/>
      <c r="E2524" s="10"/>
      <c r="F2524" s="10"/>
      <c r="G2524" s="10"/>
      <c r="H2524" s="10"/>
      <c r="I2524" s="10"/>
      <c r="J2524" s="10"/>
      <c r="K2524" s="10"/>
      <c r="L2524" s="10"/>
      <c r="M2524" s="10"/>
      <c r="N2524" s="10"/>
      <c r="O2524" s="3"/>
      <c r="P2524" s="10"/>
    </row>
    <row r="2525" spans="1:16" x14ac:dyDescent="0.15">
      <c r="A2525" s="10"/>
      <c r="B2525" s="3"/>
      <c r="C2525" s="10"/>
      <c r="D2525" s="10"/>
      <c r="E2525" s="10"/>
      <c r="F2525" s="10"/>
      <c r="G2525" s="10"/>
      <c r="H2525" s="10"/>
      <c r="I2525" s="10"/>
      <c r="J2525" s="10"/>
      <c r="K2525" s="10"/>
      <c r="L2525" s="10"/>
      <c r="M2525" s="10"/>
      <c r="N2525" s="10"/>
      <c r="O2525" s="3"/>
      <c r="P2525" s="10"/>
    </row>
    <row r="2526" spans="1:16" x14ac:dyDescent="0.15">
      <c r="A2526" s="10"/>
      <c r="B2526" s="3"/>
      <c r="C2526" s="10"/>
      <c r="D2526" s="10"/>
      <c r="E2526" s="10"/>
      <c r="F2526" s="10"/>
      <c r="G2526" s="10"/>
      <c r="H2526" s="10"/>
      <c r="I2526" s="10"/>
      <c r="J2526" s="10"/>
      <c r="K2526" s="10"/>
      <c r="L2526" s="10"/>
      <c r="M2526" s="10"/>
      <c r="N2526" s="10"/>
      <c r="O2526" s="3"/>
      <c r="P2526" s="10"/>
    </row>
    <row r="2527" spans="1:16" x14ac:dyDescent="0.15">
      <c r="A2527" s="10"/>
      <c r="B2527" s="3"/>
      <c r="C2527" s="10"/>
      <c r="D2527" s="10"/>
      <c r="E2527" s="10"/>
      <c r="F2527" s="10"/>
      <c r="G2527" s="10"/>
      <c r="H2527" s="10"/>
      <c r="I2527" s="10"/>
      <c r="J2527" s="10"/>
      <c r="K2527" s="10"/>
      <c r="L2527" s="10"/>
      <c r="M2527" s="10"/>
      <c r="N2527" s="10"/>
      <c r="O2527" s="3"/>
      <c r="P2527" s="10"/>
    </row>
    <row r="2528" spans="1:16" x14ac:dyDescent="0.15">
      <c r="A2528" s="10"/>
      <c r="B2528" s="3"/>
      <c r="C2528" s="10"/>
      <c r="D2528" s="10"/>
      <c r="E2528" s="10"/>
      <c r="F2528" s="10"/>
      <c r="G2528" s="10"/>
      <c r="H2528" s="10"/>
      <c r="I2528" s="10"/>
      <c r="J2528" s="10"/>
      <c r="K2528" s="10"/>
      <c r="L2528" s="10"/>
      <c r="M2528" s="10"/>
      <c r="N2528" s="10"/>
      <c r="O2528" s="3"/>
      <c r="P2528" s="10"/>
    </row>
    <row r="2529" spans="1:16" x14ac:dyDescent="0.15">
      <c r="A2529" s="10"/>
      <c r="B2529" s="3"/>
      <c r="C2529" s="10"/>
      <c r="D2529" s="10"/>
      <c r="E2529" s="10"/>
      <c r="F2529" s="10"/>
      <c r="G2529" s="10"/>
      <c r="H2529" s="10"/>
      <c r="I2529" s="10"/>
      <c r="J2529" s="10"/>
      <c r="K2529" s="10"/>
      <c r="L2529" s="10"/>
      <c r="M2529" s="10"/>
      <c r="N2529" s="10"/>
      <c r="O2529" s="3"/>
      <c r="P2529" s="10"/>
    </row>
    <row r="2530" spans="1:16" x14ac:dyDescent="0.15">
      <c r="A2530" s="10"/>
      <c r="B2530" s="3"/>
      <c r="C2530" s="10"/>
      <c r="D2530" s="10"/>
      <c r="E2530" s="10"/>
      <c r="F2530" s="10"/>
      <c r="G2530" s="10"/>
      <c r="H2530" s="10"/>
      <c r="I2530" s="10"/>
      <c r="J2530" s="10"/>
      <c r="K2530" s="10"/>
      <c r="L2530" s="10"/>
      <c r="M2530" s="10"/>
      <c r="N2530" s="10"/>
      <c r="O2530" s="3"/>
      <c r="P2530" s="10"/>
    </row>
    <row r="2531" spans="1:16" x14ac:dyDescent="0.15">
      <c r="A2531" s="10"/>
      <c r="B2531" s="3"/>
      <c r="C2531" s="10"/>
      <c r="D2531" s="10"/>
      <c r="E2531" s="10"/>
      <c r="F2531" s="10"/>
      <c r="G2531" s="10"/>
      <c r="H2531" s="10"/>
      <c r="I2531" s="10"/>
      <c r="J2531" s="10"/>
      <c r="K2531" s="10"/>
      <c r="L2531" s="10"/>
      <c r="M2531" s="10"/>
      <c r="N2531" s="10"/>
      <c r="O2531" s="3"/>
      <c r="P2531" s="10"/>
    </row>
    <row r="2532" spans="1:16" x14ac:dyDescent="0.15">
      <c r="A2532" s="10"/>
      <c r="B2532" s="3"/>
      <c r="C2532" s="10"/>
      <c r="D2532" s="10"/>
      <c r="E2532" s="10"/>
      <c r="F2532" s="10"/>
      <c r="G2532" s="10"/>
      <c r="H2532" s="10"/>
      <c r="I2532" s="10"/>
      <c r="J2532" s="10"/>
      <c r="K2532" s="10"/>
      <c r="L2532" s="10"/>
      <c r="M2532" s="10"/>
      <c r="N2532" s="10"/>
      <c r="O2532" s="3"/>
      <c r="P2532" s="10"/>
    </row>
    <row r="2533" spans="1:16" x14ac:dyDescent="0.15">
      <c r="A2533" s="10"/>
      <c r="B2533" s="3"/>
      <c r="C2533" s="10"/>
      <c r="D2533" s="10"/>
      <c r="E2533" s="10"/>
      <c r="F2533" s="10"/>
      <c r="G2533" s="10"/>
      <c r="H2533" s="10"/>
      <c r="I2533" s="10"/>
      <c r="J2533" s="10"/>
      <c r="K2533" s="10"/>
      <c r="L2533" s="10"/>
      <c r="M2533" s="10"/>
      <c r="N2533" s="10"/>
      <c r="O2533" s="3"/>
      <c r="P2533" s="10"/>
    </row>
    <row r="2534" spans="1:16" x14ac:dyDescent="0.15">
      <c r="A2534" s="10"/>
      <c r="B2534" s="3"/>
      <c r="C2534" s="10"/>
      <c r="D2534" s="10"/>
      <c r="E2534" s="10"/>
      <c r="F2534" s="10"/>
      <c r="G2534" s="10"/>
      <c r="H2534" s="10"/>
      <c r="I2534" s="10"/>
      <c r="J2534" s="10"/>
      <c r="K2534" s="10"/>
      <c r="L2534" s="10"/>
      <c r="M2534" s="10"/>
      <c r="N2534" s="10"/>
      <c r="O2534" s="3"/>
      <c r="P2534" s="10"/>
    </row>
    <row r="2535" spans="1:16" x14ac:dyDescent="0.15">
      <c r="A2535" s="10"/>
      <c r="B2535" s="3"/>
      <c r="C2535" s="10"/>
      <c r="D2535" s="10"/>
      <c r="E2535" s="10"/>
      <c r="F2535" s="10"/>
      <c r="G2535" s="10"/>
      <c r="H2535" s="10"/>
      <c r="I2535" s="10"/>
      <c r="J2535" s="10"/>
      <c r="K2535" s="10"/>
      <c r="L2535" s="10"/>
      <c r="M2535" s="10"/>
      <c r="N2535" s="10"/>
      <c r="O2535" s="3"/>
      <c r="P2535" s="10"/>
    </row>
    <row r="2536" spans="1:16" x14ac:dyDescent="0.15">
      <c r="A2536" s="10"/>
      <c r="B2536" s="3"/>
      <c r="C2536" s="10"/>
      <c r="D2536" s="10"/>
      <c r="E2536" s="10"/>
      <c r="F2536" s="10"/>
      <c r="G2536" s="10"/>
      <c r="H2536" s="10"/>
      <c r="I2536" s="10"/>
      <c r="J2536" s="10"/>
      <c r="K2536" s="10"/>
      <c r="L2536" s="10"/>
      <c r="M2536" s="10"/>
      <c r="N2536" s="10"/>
      <c r="O2536" s="3"/>
      <c r="P2536" s="10"/>
    </row>
    <row r="2537" spans="1:16" x14ac:dyDescent="0.15">
      <c r="A2537" s="10"/>
      <c r="B2537" s="3"/>
      <c r="C2537" s="10"/>
      <c r="D2537" s="10"/>
      <c r="E2537" s="10"/>
      <c r="F2537" s="10"/>
      <c r="G2537" s="10"/>
      <c r="H2537" s="10"/>
      <c r="I2537" s="10"/>
      <c r="J2537" s="10"/>
      <c r="K2537" s="10"/>
      <c r="L2537" s="10"/>
      <c r="M2537" s="10"/>
      <c r="N2537" s="10"/>
      <c r="O2537" s="3"/>
      <c r="P2537" s="10"/>
    </row>
    <row r="2538" spans="1:16" x14ac:dyDescent="0.15">
      <c r="A2538" s="10"/>
      <c r="B2538" s="3"/>
      <c r="C2538" s="10"/>
      <c r="D2538" s="10"/>
      <c r="E2538" s="10"/>
      <c r="F2538" s="10"/>
      <c r="G2538" s="10"/>
      <c r="H2538" s="10"/>
      <c r="I2538" s="10"/>
      <c r="J2538" s="10"/>
      <c r="K2538" s="10"/>
      <c r="L2538" s="10"/>
      <c r="M2538" s="10"/>
      <c r="N2538" s="10"/>
      <c r="O2538" s="3"/>
      <c r="P2538" s="10"/>
    </row>
    <row r="2539" spans="1:16" x14ac:dyDescent="0.15">
      <c r="A2539" s="10"/>
      <c r="B2539" s="3"/>
      <c r="C2539" s="10"/>
      <c r="D2539" s="10"/>
      <c r="E2539" s="10"/>
      <c r="F2539" s="10"/>
      <c r="G2539" s="10"/>
      <c r="H2539" s="10"/>
      <c r="I2539" s="10"/>
      <c r="J2539" s="10"/>
      <c r="K2539" s="10"/>
      <c r="L2539" s="10"/>
      <c r="M2539" s="10"/>
      <c r="N2539" s="10"/>
      <c r="O2539" s="3"/>
      <c r="P2539" s="10"/>
    </row>
    <row r="2540" spans="1:16" x14ac:dyDescent="0.15">
      <c r="A2540" s="10"/>
      <c r="B2540" s="3"/>
      <c r="C2540" s="10"/>
      <c r="D2540" s="10"/>
      <c r="E2540" s="10"/>
      <c r="F2540" s="10"/>
      <c r="G2540" s="10"/>
      <c r="H2540" s="10"/>
      <c r="I2540" s="10"/>
      <c r="J2540" s="10"/>
      <c r="K2540" s="10"/>
      <c r="L2540" s="10"/>
      <c r="M2540" s="10"/>
      <c r="N2540" s="10"/>
      <c r="O2540" s="3"/>
      <c r="P2540" s="10"/>
    </row>
    <row r="2541" spans="1:16" x14ac:dyDescent="0.15">
      <c r="A2541" s="10"/>
      <c r="B2541" s="3"/>
      <c r="C2541" s="10"/>
      <c r="D2541" s="10"/>
      <c r="E2541" s="10"/>
      <c r="F2541" s="10"/>
      <c r="G2541" s="10"/>
      <c r="H2541" s="10"/>
      <c r="I2541" s="10"/>
      <c r="J2541" s="10"/>
      <c r="K2541" s="10"/>
      <c r="L2541" s="10"/>
      <c r="M2541" s="10"/>
      <c r="N2541" s="10"/>
      <c r="O2541" s="3"/>
      <c r="P2541" s="10"/>
    </row>
    <row r="2542" spans="1:16" x14ac:dyDescent="0.15">
      <c r="A2542" s="10"/>
      <c r="B2542" s="3"/>
      <c r="C2542" s="10"/>
      <c r="D2542" s="10"/>
      <c r="E2542" s="10"/>
      <c r="F2542" s="10"/>
      <c r="G2542" s="10"/>
      <c r="H2542" s="10"/>
      <c r="I2542" s="10"/>
      <c r="J2542" s="10"/>
      <c r="K2542" s="10"/>
      <c r="L2542" s="10"/>
      <c r="M2542" s="10"/>
      <c r="N2542" s="10"/>
      <c r="O2542" s="3"/>
      <c r="P2542" s="10"/>
    </row>
    <row r="2543" spans="1:16" x14ac:dyDescent="0.15">
      <c r="A2543" s="10"/>
      <c r="B2543" s="3"/>
      <c r="C2543" s="10"/>
      <c r="D2543" s="10"/>
      <c r="E2543" s="10"/>
      <c r="F2543" s="10"/>
      <c r="G2543" s="10"/>
      <c r="H2543" s="10"/>
      <c r="I2543" s="10"/>
      <c r="J2543" s="10"/>
      <c r="K2543" s="10"/>
      <c r="L2543" s="10"/>
      <c r="M2543" s="10"/>
      <c r="N2543" s="10"/>
      <c r="O2543" s="3"/>
      <c r="P2543" s="10"/>
    </row>
    <row r="2544" spans="1:16" x14ac:dyDescent="0.15">
      <c r="A2544" s="10"/>
      <c r="B2544" s="3"/>
      <c r="C2544" s="10"/>
      <c r="D2544" s="10"/>
      <c r="E2544" s="10"/>
      <c r="F2544" s="10"/>
      <c r="G2544" s="10"/>
      <c r="H2544" s="10"/>
      <c r="I2544" s="10"/>
      <c r="J2544" s="10"/>
      <c r="K2544" s="10"/>
      <c r="L2544" s="10"/>
      <c r="M2544" s="10"/>
      <c r="N2544" s="10"/>
      <c r="O2544" s="3"/>
      <c r="P2544" s="10"/>
    </row>
    <row r="2545" spans="1:16" x14ac:dyDescent="0.15">
      <c r="A2545" s="10"/>
      <c r="B2545" s="3"/>
      <c r="C2545" s="10"/>
      <c r="D2545" s="10"/>
      <c r="E2545" s="10"/>
      <c r="F2545" s="10"/>
      <c r="G2545" s="10"/>
      <c r="H2545" s="10"/>
      <c r="I2545" s="10"/>
      <c r="J2545" s="10"/>
      <c r="K2545" s="10"/>
      <c r="L2545" s="10"/>
      <c r="M2545" s="10"/>
      <c r="N2545" s="10"/>
      <c r="O2545" s="3"/>
      <c r="P2545" s="10"/>
    </row>
    <row r="2546" spans="1:16" x14ac:dyDescent="0.15">
      <c r="A2546" s="10"/>
      <c r="B2546" s="3"/>
      <c r="C2546" s="10"/>
      <c r="D2546" s="10"/>
      <c r="E2546" s="10"/>
      <c r="F2546" s="10"/>
      <c r="G2546" s="10"/>
      <c r="H2546" s="10"/>
      <c r="I2546" s="10"/>
      <c r="J2546" s="10"/>
      <c r="K2546" s="10"/>
      <c r="L2546" s="10"/>
      <c r="M2546" s="10"/>
      <c r="N2546" s="10"/>
      <c r="O2546" s="3"/>
      <c r="P2546" s="10"/>
    </row>
    <row r="2547" spans="1:16" x14ac:dyDescent="0.15">
      <c r="A2547" s="10"/>
      <c r="B2547" s="3"/>
      <c r="C2547" s="10"/>
      <c r="D2547" s="10"/>
      <c r="E2547" s="10"/>
      <c r="F2547" s="10"/>
      <c r="G2547" s="10"/>
      <c r="H2547" s="10"/>
      <c r="I2547" s="10"/>
      <c r="J2547" s="10"/>
      <c r="K2547" s="10"/>
      <c r="L2547" s="10"/>
      <c r="M2547" s="10"/>
      <c r="N2547" s="10"/>
      <c r="O2547" s="3"/>
      <c r="P2547" s="10"/>
    </row>
    <row r="2548" spans="1:16" x14ac:dyDescent="0.15">
      <c r="A2548" s="10"/>
      <c r="B2548" s="3"/>
      <c r="C2548" s="10"/>
      <c r="D2548" s="10"/>
      <c r="E2548" s="10"/>
      <c r="F2548" s="10"/>
      <c r="G2548" s="10"/>
      <c r="H2548" s="10"/>
      <c r="I2548" s="10"/>
      <c r="J2548" s="10"/>
      <c r="K2548" s="10"/>
      <c r="L2548" s="10"/>
      <c r="M2548" s="10"/>
      <c r="N2548" s="10"/>
      <c r="O2548" s="3"/>
      <c r="P2548" s="10"/>
    </row>
    <row r="2549" spans="1:16" x14ac:dyDescent="0.15">
      <c r="A2549" s="10"/>
      <c r="B2549" s="3"/>
      <c r="C2549" s="10"/>
      <c r="D2549" s="10"/>
      <c r="E2549" s="10"/>
      <c r="F2549" s="10"/>
      <c r="G2549" s="10"/>
      <c r="H2549" s="10"/>
      <c r="I2549" s="10"/>
      <c r="J2549" s="10"/>
      <c r="K2549" s="10"/>
      <c r="L2549" s="10"/>
      <c r="M2549" s="10"/>
      <c r="N2549" s="10"/>
      <c r="O2549" s="3"/>
      <c r="P2549" s="10"/>
    </row>
    <row r="2550" spans="1:16" x14ac:dyDescent="0.15">
      <c r="A2550" s="10"/>
      <c r="B2550" s="3"/>
      <c r="C2550" s="10"/>
      <c r="D2550" s="10"/>
      <c r="E2550" s="10"/>
      <c r="F2550" s="10"/>
      <c r="G2550" s="10"/>
      <c r="H2550" s="10"/>
      <c r="I2550" s="10"/>
      <c r="J2550" s="10"/>
      <c r="K2550" s="10"/>
      <c r="L2550" s="10"/>
      <c r="M2550" s="10"/>
      <c r="N2550" s="10"/>
      <c r="O2550" s="3"/>
      <c r="P2550" s="10"/>
    </row>
    <row r="2551" spans="1:16" x14ac:dyDescent="0.15">
      <c r="A2551" s="10"/>
      <c r="B2551" s="3"/>
      <c r="C2551" s="10"/>
      <c r="D2551" s="10"/>
      <c r="E2551" s="10"/>
      <c r="F2551" s="10"/>
      <c r="G2551" s="10"/>
      <c r="H2551" s="10"/>
      <c r="I2551" s="10"/>
      <c r="J2551" s="10"/>
      <c r="K2551" s="10"/>
      <c r="L2551" s="10"/>
      <c r="M2551" s="10"/>
      <c r="N2551" s="10"/>
      <c r="O2551" s="3"/>
      <c r="P2551" s="10"/>
    </row>
    <row r="2552" spans="1:16" x14ac:dyDescent="0.15">
      <c r="A2552" s="10"/>
      <c r="B2552" s="3"/>
      <c r="C2552" s="10"/>
      <c r="D2552" s="10"/>
      <c r="E2552" s="10"/>
      <c r="F2552" s="10"/>
      <c r="G2552" s="10"/>
      <c r="H2552" s="10"/>
      <c r="I2552" s="10"/>
      <c r="J2552" s="10"/>
      <c r="K2552" s="10"/>
      <c r="L2552" s="10"/>
      <c r="M2552" s="10"/>
      <c r="N2552" s="10"/>
      <c r="O2552" s="3"/>
      <c r="P2552" s="10"/>
    </row>
    <row r="2553" spans="1:16" x14ac:dyDescent="0.15">
      <c r="A2553" s="10"/>
      <c r="B2553" s="3"/>
      <c r="C2553" s="10"/>
      <c r="D2553" s="10"/>
      <c r="E2553" s="10"/>
      <c r="F2553" s="10"/>
      <c r="G2553" s="10"/>
      <c r="H2553" s="10"/>
      <c r="I2553" s="10"/>
      <c r="J2553" s="10"/>
      <c r="K2553" s="10"/>
      <c r="L2553" s="10"/>
      <c r="M2553" s="10"/>
      <c r="N2553" s="10"/>
      <c r="O2553" s="3"/>
      <c r="P2553" s="10"/>
    </row>
    <row r="2554" spans="1:16" x14ac:dyDescent="0.15">
      <c r="A2554" s="10"/>
      <c r="B2554" s="3"/>
      <c r="C2554" s="10"/>
      <c r="D2554" s="10"/>
      <c r="E2554" s="10"/>
      <c r="F2554" s="10"/>
      <c r="G2554" s="10"/>
      <c r="H2554" s="10"/>
      <c r="I2554" s="10"/>
      <c r="J2554" s="10"/>
      <c r="K2554" s="10"/>
      <c r="L2554" s="10"/>
      <c r="M2554" s="10"/>
      <c r="N2554" s="10"/>
      <c r="O2554" s="3"/>
      <c r="P2554" s="10"/>
    </row>
    <row r="2555" spans="1:16" x14ac:dyDescent="0.15">
      <c r="A2555" s="10"/>
      <c r="B2555" s="3"/>
      <c r="C2555" s="10"/>
      <c r="D2555" s="10"/>
      <c r="E2555" s="10"/>
      <c r="F2555" s="10"/>
      <c r="G2555" s="10"/>
      <c r="H2555" s="10"/>
      <c r="I2555" s="10"/>
      <c r="J2555" s="10"/>
      <c r="K2555" s="10"/>
      <c r="L2555" s="10"/>
      <c r="M2555" s="10"/>
      <c r="N2555" s="10"/>
      <c r="O2555" s="3"/>
      <c r="P2555" s="10"/>
    </row>
    <row r="2556" spans="1:16" x14ac:dyDescent="0.15">
      <c r="A2556" s="10"/>
      <c r="B2556" s="3"/>
      <c r="C2556" s="10"/>
      <c r="D2556" s="10"/>
      <c r="E2556" s="10"/>
      <c r="F2556" s="10"/>
      <c r="G2556" s="10"/>
      <c r="H2556" s="10"/>
      <c r="I2556" s="10"/>
      <c r="J2556" s="10"/>
      <c r="K2556" s="10"/>
      <c r="L2556" s="10"/>
      <c r="M2556" s="10"/>
      <c r="N2556" s="10"/>
      <c r="O2556" s="3"/>
      <c r="P2556" s="10"/>
    </row>
    <row r="2557" spans="1:16" x14ac:dyDescent="0.15">
      <c r="A2557" s="10"/>
      <c r="B2557" s="3"/>
      <c r="C2557" s="10"/>
      <c r="D2557" s="10"/>
      <c r="E2557" s="10"/>
      <c r="F2557" s="10"/>
      <c r="G2557" s="10"/>
      <c r="H2557" s="10"/>
      <c r="I2557" s="10"/>
      <c r="J2557" s="10"/>
      <c r="K2557" s="10"/>
      <c r="L2557" s="10"/>
      <c r="M2557" s="10"/>
      <c r="N2557" s="10"/>
      <c r="O2557" s="3"/>
      <c r="P2557" s="10"/>
    </row>
    <row r="2558" spans="1:16" x14ac:dyDescent="0.15">
      <c r="A2558" s="10"/>
      <c r="B2558" s="3"/>
      <c r="C2558" s="10"/>
      <c r="D2558" s="10"/>
      <c r="E2558" s="10"/>
      <c r="F2558" s="10"/>
      <c r="G2558" s="10"/>
      <c r="H2558" s="10"/>
      <c r="I2558" s="10"/>
      <c r="J2558" s="10"/>
      <c r="K2558" s="10"/>
      <c r="L2558" s="10"/>
      <c r="M2558" s="10"/>
      <c r="N2558" s="10"/>
      <c r="O2558" s="3"/>
      <c r="P2558" s="10"/>
    </row>
    <row r="2559" spans="1:16" x14ac:dyDescent="0.15">
      <c r="A2559" s="10"/>
      <c r="B2559" s="3"/>
      <c r="C2559" s="10"/>
      <c r="D2559" s="10"/>
      <c r="E2559" s="10"/>
      <c r="F2559" s="10"/>
      <c r="G2559" s="10"/>
      <c r="H2559" s="10"/>
      <c r="I2559" s="10"/>
      <c r="J2559" s="10"/>
      <c r="K2559" s="10"/>
      <c r="L2559" s="10"/>
      <c r="M2559" s="10"/>
      <c r="N2559" s="10"/>
      <c r="O2559" s="3"/>
      <c r="P2559" s="10"/>
    </row>
    <row r="2560" spans="1:16" x14ac:dyDescent="0.15">
      <c r="A2560" s="10"/>
      <c r="B2560" s="3"/>
      <c r="C2560" s="10"/>
      <c r="D2560" s="10"/>
      <c r="E2560" s="10"/>
      <c r="F2560" s="10"/>
      <c r="G2560" s="10"/>
      <c r="H2560" s="10"/>
      <c r="I2560" s="10"/>
      <c r="J2560" s="10"/>
      <c r="K2560" s="10"/>
      <c r="L2560" s="10"/>
      <c r="M2560" s="10"/>
      <c r="N2560" s="10"/>
      <c r="O2560" s="3"/>
      <c r="P2560" s="10"/>
    </row>
    <row r="2561" spans="1:16" x14ac:dyDescent="0.15">
      <c r="A2561" s="10"/>
      <c r="B2561" s="3"/>
      <c r="C2561" s="10"/>
      <c r="D2561" s="10"/>
      <c r="E2561" s="10"/>
      <c r="F2561" s="10"/>
      <c r="G2561" s="10"/>
      <c r="H2561" s="10"/>
      <c r="I2561" s="10"/>
      <c r="J2561" s="10"/>
      <c r="K2561" s="10"/>
      <c r="L2561" s="10"/>
      <c r="M2561" s="10"/>
      <c r="N2561" s="10"/>
      <c r="O2561" s="3"/>
      <c r="P2561" s="10"/>
    </row>
    <row r="2562" spans="1:16" x14ac:dyDescent="0.15">
      <c r="A2562" s="10"/>
      <c r="B2562" s="3"/>
      <c r="C2562" s="10"/>
      <c r="D2562" s="10"/>
      <c r="E2562" s="10"/>
      <c r="F2562" s="10"/>
      <c r="G2562" s="10"/>
      <c r="H2562" s="10"/>
      <c r="I2562" s="10"/>
      <c r="J2562" s="10"/>
      <c r="K2562" s="10"/>
      <c r="L2562" s="10"/>
      <c r="M2562" s="10"/>
      <c r="N2562" s="10"/>
      <c r="O2562" s="3"/>
      <c r="P2562" s="10"/>
    </row>
    <row r="2563" spans="1:16" x14ac:dyDescent="0.15">
      <c r="A2563" s="10"/>
      <c r="B2563" s="3"/>
      <c r="C2563" s="10"/>
      <c r="D2563" s="10"/>
      <c r="E2563" s="10"/>
      <c r="F2563" s="10"/>
      <c r="G2563" s="10"/>
      <c r="H2563" s="10"/>
      <c r="I2563" s="10"/>
      <c r="J2563" s="10"/>
      <c r="K2563" s="10"/>
      <c r="L2563" s="10"/>
      <c r="M2563" s="10"/>
      <c r="N2563" s="10"/>
      <c r="O2563" s="3"/>
      <c r="P2563" s="10"/>
    </row>
    <row r="2564" spans="1:16" x14ac:dyDescent="0.15">
      <c r="A2564" s="10"/>
      <c r="B2564" s="3"/>
      <c r="C2564" s="10"/>
      <c r="D2564" s="10"/>
      <c r="E2564" s="10"/>
      <c r="F2564" s="10"/>
      <c r="G2564" s="10"/>
      <c r="H2564" s="10"/>
      <c r="I2564" s="10"/>
      <c r="J2564" s="10"/>
      <c r="K2564" s="10"/>
      <c r="L2564" s="10"/>
      <c r="M2564" s="10"/>
      <c r="N2564" s="10"/>
      <c r="O2564" s="3"/>
      <c r="P2564" s="10"/>
    </row>
    <row r="2565" spans="1:16" x14ac:dyDescent="0.15">
      <c r="A2565" s="10"/>
      <c r="B2565" s="3"/>
      <c r="C2565" s="10"/>
      <c r="D2565" s="10"/>
      <c r="E2565" s="10"/>
      <c r="F2565" s="10"/>
      <c r="G2565" s="10"/>
      <c r="H2565" s="10"/>
      <c r="I2565" s="10"/>
      <c r="J2565" s="10"/>
      <c r="K2565" s="10"/>
      <c r="L2565" s="10"/>
      <c r="M2565" s="10"/>
      <c r="N2565" s="10"/>
      <c r="O2565" s="3"/>
      <c r="P2565" s="10"/>
    </row>
    <row r="2566" spans="1:16" x14ac:dyDescent="0.15">
      <c r="A2566" s="10"/>
      <c r="B2566" s="3"/>
      <c r="C2566" s="10"/>
      <c r="D2566" s="10"/>
      <c r="E2566" s="10"/>
      <c r="F2566" s="10"/>
      <c r="G2566" s="10"/>
      <c r="H2566" s="10"/>
      <c r="I2566" s="10"/>
      <c r="J2566" s="10"/>
      <c r="K2566" s="10"/>
      <c r="L2566" s="10"/>
      <c r="M2566" s="10"/>
      <c r="N2566" s="10"/>
      <c r="O2566" s="3"/>
      <c r="P2566" s="10"/>
    </row>
    <row r="2567" spans="1:16" x14ac:dyDescent="0.15">
      <c r="A2567" s="10"/>
      <c r="B2567" s="3"/>
      <c r="C2567" s="10"/>
      <c r="D2567" s="10"/>
      <c r="E2567" s="10"/>
      <c r="F2567" s="10"/>
      <c r="G2567" s="10"/>
      <c r="H2567" s="10"/>
      <c r="I2567" s="10"/>
      <c r="J2567" s="10"/>
      <c r="K2567" s="10"/>
      <c r="L2567" s="10"/>
      <c r="M2567" s="10"/>
      <c r="N2567" s="10"/>
      <c r="O2567" s="3"/>
      <c r="P2567" s="10"/>
    </row>
    <row r="2568" spans="1:16" x14ac:dyDescent="0.15">
      <c r="A2568" s="10"/>
      <c r="B2568" s="3"/>
      <c r="C2568" s="10"/>
      <c r="D2568" s="10"/>
      <c r="E2568" s="10"/>
      <c r="F2568" s="10"/>
      <c r="G2568" s="10"/>
      <c r="H2568" s="10"/>
      <c r="I2568" s="10"/>
      <c r="J2568" s="10"/>
      <c r="K2568" s="10"/>
      <c r="L2568" s="10"/>
      <c r="M2568" s="10"/>
      <c r="N2568" s="10"/>
      <c r="O2568" s="3"/>
      <c r="P2568" s="10"/>
    </row>
    <row r="2569" spans="1:16" x14ac:dyDescent="0.15">
      <c r="A2569" s="10"/>
      <c r="B2569" s="3"/>
      <c r="C2569" s="10"/>
      <c r="D2569" s="10"/>
      <c r="E2569" s="10"/>
      <c r="F2569" s="10"/>
      <c r="G2569" s="10"/>
      <c r="H2569" s="10"/>
      <c r="I2569" s="10"/>
      <c r="J2569" s="10"/>
      <c r="K2569" s="10"/>
      <c r="L2569" s="10"/>
      <c r="M2569" s="10"/>
      <c r="N2569" s="10"/>
      <c r="O2569" s="3"/>
      <c r="P2569" s="10"/>
    </row>
    <row r="2570" spans="1:16" x14ac:dyDescent="0.15">
      <c r="A2570" s="10"/>
      <c r="B2570" s="3"/>
      <c r="C2570" s="10"/>
      <c r="D2570" s="10"/>
      <c r="E2570" s="10"/>
      <c r="F2570" s="10"/>
      <c r="G2570" s="10"/>
      <c r="H2570" s="10"/>
      <c r="I2570" s="10"/>
      <c r="J2570" s="10"/>
      <c r="K2570" s="10"/>
      <c r="L2570" s="10"/>
      <c r="M2570" s="10"/>
      <c r="N2570" s="10"/>
      <c r="O2570" s="3"/>
      <c r="P2570" s="10"/>
    </row>
    <row r="2571" spans="1:16" x14ac:dyDescent="0.15">
      <c r="A2571" s="10"/>
      <c r="B2571" s="3"/>
      <c r="C2571" s="10"/>
      <c r="D2571" s="10"/>
      <c r="E2571" s="10"/>
      <c r="F2571" s="10"/>
      <c r="G2571" s="10"/>
      <c r="H2571" s="10"/>
      <c r="I2571" s="10"/>
      <c r="J2571" s="10"/>
      <c r="K2571" s="10"/>
      <c r="L2571" s="10"/>
      <c r="M2571" s="10"/>
      <c r="N2571" s="10"/>
      <c r="O2571" s="3"/>
      <c r="P2571" s="10"/>
    </row>
    <row r="2572" spans="1:16" x14ac:dyDescent="0.15">
      <c r="A2572" s="10"/>
      <c r="B2572" s="3"/>
      <c r="C2572" s="10"/>
      <c r="D2572" s="10"/>
      <c r="E2572" s="10"/>
      <c r="F2572" s="10"/>
      <c r="G2572" s="10"/>
      <c r="H2572" s="10"/>
      <c r="I2572" s="10"/>
      <c r="J2572" s="10"/>
      <c r="K2572" s="10"/>
      <c r="L2572" s="10"/>
      <c r="M2572" s="10"/>
      <c r="N2572" s="10"/>
      <c r="O2572" s="3"/>
      <c r="P2572" s="10"/>
    </row>
    <row r="2573" spans="1:16" x14ac:dyDescent="0.15">
      <c r="A2573" s="10"/>
      <c r="B2573" s="3"/>
      <c r="C2573" s="10"/>
      <c r="D2573" s="10"/>
      <c r="E2573" s="10"/>
      <c r="F2573" s="10"/>
      <c r="G2573" s="10"/>
      <c r="H2573" s="10"/>
      <c r="I2573" s="10"/>
      <c r="J2573" s="10"/>
      <c r="K2573" s="10"/>
      <c r="L2573" s="10"/>
      <c r="M2573" s="10"/>
      <c r="N2573" s="10"/>
      <c r="O2573" s="3"/>
      <c r="P2573" s="10"/>
    </row>
    <row r="2574" spans="1:16" x14ac:dyDescent="0.15">
      <c r="A2574" s="10"/>
      <c r="B2574" s="3"/>
      <c r="C2574" s="10"/>
      <c r="D2574" s="10"/>
      <c r="E2574" s="10"/>
      <c r="F2574" s="10"/>
      <c r="G2574" s="10"/>
      <c r="H2574" s="10"/>
      <c r="I2574" s="10"/>
      <c r="J2574" s="10"/>
      <c r="K2574" s="10"/>
      <c r="L2574" s="10"/>
      <c r="M2574" s="10"/>
      <c r="N2574" s="10"/>
      <c r="O2574" s="3"/>
      <c r="P2574" s="10"/>
    </row>
    <row r="2575" spans="1:16" x14ac:dyDescent="0.15">
      <c r="A2575" s="10"/>
      <c r="B2575" s="3"/>
      <c r="C2575" s="10"/>
      <c r="D2575" s="10"/>
      <c r="E2575" s="10"/>
      <c r="F2575" s="10"/>
      <c r="G2575" s="10"/>
      <c r="H2575" s="10"/>
      <c r="I2575" s="10"/>
      <c r="J2575" s="10"/>
      <c r="K2575" s="10"/>
      <c r="L2575" s="10"/>
      <c r="M2575" s="10"/>
      <c r="N2575" s="10"/>
      <c r="O2575" s="3"/>
      <c r="P2575" s="10"/>
    </row>
    <row r="2576" spans="1:16" x14ac:dyDescent="0.15">
      <c r="A2576" s="10"/>
      <c r="B2576" s="3"/>
      <c r="C2576" s="10"/>
      <c r="D2576" s="10"/>
      <c r="E2576" s="10"/>
      <c r="F2576" s="10"/>
      <c r="G2576" s="10"/>
      <c r="H2576" s="10"/>
      <c r="I2576" s="10"/>
      <c r="J2576" s="10"/>
      <c r="K2576" s="10"/>
      <c r="L2576" s="10"/>
      <c r="M2576" s="10"/>
      <c r="N2576" s="10"/>
      <c r="O2576" s="3"/>
      <c r="P2576" s="10"/>
    </row>
    <row r="2577" spans="1:16" x14ac:dyDescent="0.15">
      <c r="A2577" s="10"/>
      <c r="B2577" s="3"/>
      <c r="C2577" s="10"/>
      <c r="D2577" s="10"/>
      <c r="E2577" s="10"/>
      <c r="F2577" s="10"/>
      <c r="G2577" s="10"/>
      <c r="H2577" s="10"/>
      <c r="I2577" s="10"/>
      <c r="J2577" s="10"/>
      <c r="K2577" s="10"/>
      <c r="L2577" s="10"/>
      <c r="M2577" s="10"/>
      <c r="N2577" s="10"/>
      <c r="O2577" s="3"/>
      <c r="P2577" s="10"/>
    </row>
    <row r="2578" spans="1:16" x14ac:dyDescent="0.15">
      <c r="A2578" s="10"/>
      <c r="B2578" s="3"/>
      <c r="C2578" s="10"/>
      <c r="D2578" s="10"/>
      <c r="E2578" s="10"/>
      <c r="F2578" s="10"/>
      <c r="G2578" s="10"/>
      <c r="H2578" s="10"/>
      <c r="I2578" s="10"/>
      <c r="J2578" s="10"/>
      <c r="K2578" s="10"/>
      <c r="L2578" s="10"/>
      <c r="M2578" s="10"/>
      <c r="N2578" s="10"/>
      <c r="O2578" s="3"/>
      <c r="P2578" s="10"/>
    </row>
    <row r="2579" spans="1:16" x14ac:dyDescent="0.15">
      <c r="A2579" s="10"/>
      <c r="B2579" s="3"/>
      <c r="C2579" s="10"/>
      <c r="D2579" s="10"/>
      <c r="E2579" s="10"/>
      <c r="F2579" s="10"/>
      <c r="G2579" s="10"/>
      <c r="H2579" s="10"/>
      <c r="I2579" s="10"/>
      <c r="J2579" s="10"/>
      <c r="K2579" s="10"/>
      <c r="L2579" s="10"/>
      <c r="M2579" s="10"/>
      <c r="N2579" s="10"/>
      <c r="O2579" s="3"/>
      <c r="P2579" s="10"/>
    </row>
    <row r="2580" spans="1:16" x14ac:dyDescent="0.15">
      <c r="A2580" s="10"/>
      <c r="B2580" s="3"/>
      <c r="C2580" s="10"/>
      <c r="D2580" s="10"/>
      <c r="E2580" s="10"/>
      <c r="F2580" s="10"/>
      <c r="G2580" s="10"/>
      <c r="H2580" s="10"/>
      <c r="I2580" s="10"/>
      <c r="J2580" s="10"/>
      <c r="K2580" s="10"/>
      <c r="L2580" s="10"/>
      <c r="M2580" s="10"/>
      <c r="N2580" s="10"/>
      <c r="O2580" s="3"/>
      <c r="P2580" s="10"/>
    </row>
    <row r="2581" spans="1:16" x14ac:dyDescent="0.15">
      <c r="A2581" s="10"/>
      <c r="B2581" s="3"/>
      <c r="C2581" s="10"/>
      <c r="D2581" s="10"/>
      <c r="E2581" s="10"/>
      <c r="F2581" s="10"/>
      <c r="G2581" s="10"/>
      <c r="H2581" s="10"/>
      <c r="I2581" s="10"/>
      <c r="J2581" s="10"/>
      <c r="K2581" s="10"/>
      <c r="L2581" s="10"/>
      <c r="M2581" s="10"/>
      <c r="N2581" s="10"/>
      <c r="O2581" s="3"/>
      <c r="P2581" s="10"/>
    </row>
    <row r="2582" spans="1:16" x14ac:dyDescent="0.15">
      <c r="A2582" s="10"/>
      <c r="B2582" s="3"/>
      <c r="C2582" s="10"/>
      <c r="D2582" s="10"/>
      <c r="E2582" s="10"/>
      <c r="F2582" s="10"/>
      <c r="G2582" s="10"/>
      <c r="H2582" s="10"/>
      <c r="I2582" s="10"/>
      <c r="J2582" s="10"/>
      <c r="K2582" s="10"/>
      <c r="L2582" s="10"/>
      <c r="M2582" s="10"/>
      <c r="N2582" s="10"/>
      <c r="O2582" s="3"/>
      <c r="P2582" s="10"/>
    </row>
    <row r="2583" spans="1:16" x14ac:dyDescent="0.15">
      <c r="A2583" s="10"/>
      <c r="B2583" s="3"/>
      <c r="C2583" s="10"/>
      <c r="D2583" s="10"/>
      <c r="E2583" s="10"/>
      <c r="F2583" s="10"/>
      <c r="G2583" s="10"/>
      <c r="H2583" s="10"/>
      <c r="I2583" s="10"/>
      <c r="J2583" s="10"/>
      <c r="K2583" s="10"/>
      <c r="L2583" s="10"/>
      <c r="M2583" s="10"/>
      <c r="N2583" s="10"/>
      <c r="O2583" s="3"/>
      <c r="P2583" s="10"/>
    </row>
    <row r="2584" spans="1:16" x14ac:dyDescent="0.15">
      <c r="A2584" s="10"/>
      <c r="B2584" s="3"/>
      <c r="C2584" s="10"/>
      <c r="D2584" s="10"/>
      <c r="E2584" s="10"/>
      <c r="F2584" s="10"/>
      <c r="G2584" s="10"/>
      <c r="H2584" s="10"/>
      <c r="I2584" s="10"/>
      <c r="J2584" s="10"/>
      <c r="K2584" s="10"/>
      <c r="L2584" s="10"/>
      <c r="M2584" s="10"/>
      <c r="N2584" s="10"/>
      <c r="O2584" s="3"/>
      <c r="P2584" s="10"/>
    </row>
    <row r="2585" spans="1:16" x14ac:dyDescent="0.15">
      <c r="A2585" s="10"/>
      <c r="B2585" s="3"/>
      <c r="C2585" s="10"/>
      <c r="D2585" s="10"/>
      <c r="E2585" s="10"/>
      <c r="F2585" s="10"/>
      <c r="G2585" s="10"/>
      <c r="H2585" s="10"/>
      <c r="I2585" s="10"/>
      <c r="J2585" s="10"/>
      <c r="K2585" s="10"/>
      <c r="L2585" s="10"/>
      <c r="M2585" s="10"/>
      <c r="N2585" s="10"/>
      <c r="O2585" s="3"/>
      <c r="P2585" s="10"/>
    </row>
    <row r="2586" spans="1:16" x14ac:dyDescent="0.15">
      <c r="A2586" s="10"/>
      <c r="B2586" s="3"/>
      <c r="C2586" s="10"/>
      <c r="D2586" s="10"/>
      <c r="E2586" s="10"/>
      <c r="F2586" s="10"/>
      <c r="G2586" s="10"/>
      <c r="H2586" s="10"/>
      <c r="I2586" s="10"/>
      <c r="J2586" s="10"/>
      <c r="K2586" s="10"/>
      <c r="L2586" s="10"/>
      <c r="M2586" s="10"/>
      <c r="N2586" s="10"/>
      <c r="O2586" s="3"/>
      <c r="P2586" s="10"/>
    </row>
    <row r="2587" spans="1:16" x14ac:dyDescent="0.15">
      <c r="A2587" s="10"/>
      <c r="B2587" s="3"/>
      <c r="C2587" s="10"/>
      <c r="D2587" s="10"/>
      <c r="E2587" s="10"/>
      <c r="F2587" s="10"/>
      <c r="G2587" s="10"/>
      <c r="H2587" s="10"/>
      <c r="I2587" s="10"/>
      <c r="J2587" s="10"/>
      <c r="K2587" s="10"/>
      <c r="L2587" s="10"/>
      <c r="M2587" s="10"/>
      <c r="N2587" s="10"/>
      <c r="O2587" s="3"/>
      <c r="P2587" s="10"/>
    </row>
    <row r="2588" spans="1:16" x14ac:dyDescent="0.15">
      <c r="A2588" s="10"/>
      <c r="B2588" s="3"/>
      <c r="C2588" s="10"/>
      <c r="D2588" s="10"/>
      <c r="E2588" s="10"/>
      <c r="F2588" s="10"/>
      <c r="G2588" s="10"/>
      <c r="H2588" s="10"/>
      <c r="I2588" s="10"/>
      <c r="J2588" s="10"/>
      <c r="K2588" s="10"/>
      <c r="L2588" s="10"/>
      <c r="M2588" s="10"/>
      <c r="N2588" s="10"/>
      <c r="O2588" s="3"/>
      <c r="P2588" s="10"/>
    </row>
    <row r="2589" spans="1:16" x14ac:dyDescent="0.15">
      <c r="A2589" s="10"/>
      <c r="B2589" s="3"/>
      <c r="C2589" s="10"/>
      <c r="D2589" s="10"/>
      <c r="E2589" s="10"/>
      <c r="F2589" s="10"/>
      <c r="G2589" s="10"/>
      <c r="H2589" s="10"/>
      <c r="I2589" s="10"/>
      <c r="J2589" s="10"/>
      <c r="K2589" s="10"/>
      <c r="L2589" s="10"/>
      <c r="M2589" s="10"/>
      <c r="N2589" s="10"/>
      <c r="O2589" s="3"/>
      <c r="P2589" s="10"/>
    </row>
    <row r="2590" spans="1:16" x14ac:dyDescent="0.15">
      <c r="A2590" s="10"/>
      <c r="B2590" s="3"/>
      <c r="C2590" s="10"/>
      <c r="D2590" s="10"/>
      <c r="E2590" s="10"/>
      <c r="F2590" s="10"/>
      <c r="G2590" s="10"/>
      <c r="H2590" s="10"/>
      <c r="I2590" s="10"/>
      <c r="J2590" s="10"/>
      <c r="K2590" s="10"/>
      <c r="L2590" s="10"/>
      <c r="M2590" s="10"/>
      <c r="N2590" s="10"/>
      <c r="O2590" s="3"/>
      <c r="P2590" s="10"/>
    </row>
    <row r="2591" spans="1:16" x14ac:dyDescent="0.15">
      <c r="A2591" s="10"/>
      <c r="B2591" s="3"/>
      <c r="C2591" s="10"/>
      <c r="D2591" s="10"/>
      <c r="E2591" s="10"/>
      <c r="F2591" s="10"/>
      <c r="G2591" s="10"/>
      <c r="H2591" s="10"/>
      <c r="I2591" s="10"/>
      <c r="J2591" s="10"/>
      <c r="K2591" s="10"/>
      <c r="L2591" s="10"/>
      <c r="M2591" s="10"/>
      <c r="N2591" s="10"/>
      <c r="O2591" s="3"/>
      <c r="P2591" s="10"/>
    </row>
    <row r="2592" spans="1:16" x14ac:dyDescent="0.15">
      <c r="A2592" s="10"/>
      <c r="B2592" s="3"/>
      <c r="C2592" s="10"/>
      <c r="D2592" s="10"/>
      <c r="E2592" s="10"/>
      <c r="F2592" s="10"/>
      <c r="G2592" s="10"/>
      <c r="H2592" s="10"/>
      <c r="I2592" s="10"/>
      <c r="J2592" s="10"/>
      <c r="K2592" s="10"/>
      <c r="L2592" s="10"/>
      <c r="M2592" s="10"/>
      <c r="N2592" s="10"/>
      <c r="O2592" s="3"/>
      <c r="P2592" s="10"/>
    </row>
    <row r="2593" spans="1:16" x14ac:dyDescent="0.15">
      <c r="A2593" s="10"/>
      <c r="B2593" s="3"/>
      <c r="C2593" s="10"/>
      <c r="D2593" s="10"/>
      <c r="E2593" s="10"/>
      <c r="F2593" s="10"/>
      <c r="G2593" s="10"/>
      <c r="H2593" s="10"/>
      <c r="I2593" s="10"/>
      <c r="J2593" s="10"/>
      <c r="K2593" s="10"/>
      <c r="L2593" s="10"/>
      <c r="M2593" s="10"/>
      <c r="N2593" s="10"/>
      <c r="O2593" s="3"/>
      <c r="P2593" s="10"/>
    </row>
    <row r="2594" spans="1:16" x14ac:dyDescent="0.15">
      <c r="A2594" s="10"/>
      <c r="B2594" s="3"/>
      <c r="C2594" s="10"/>
      <c r="D2594" s="10"/>
      <c r="E2594" s="10"/>
      <c r="F2594" s="10"/>
      <c r="G2594" s="10"/>
      <c r="H2594" s="10"/>
      <c r="I2594" s="10"/>
      <c r="J2594" s="10"/>
      <c r="K2594" s="10"/>
      <c r="L2594" s="10"/>
      <c r="M2594" s="10"/>
      <c r="N2594" s="10"/>
      <c r="O2594" s="3"/>
      <c r="P2594" s="10"/>
    </row>
    <row r="2595" spans="1:16" x14ac:dyDescent="0.15">
      <c r="A2595" s="10"/>
      <c r="B2595" s="3"/>
      <c r="C2595" s="10"/>
      <c r="D2595" s="10"/>
      <c r="E2595" s="10"/>
      <c r="F2595" s="10"/>
      <c r="G2595" s="10"/>
      <c r="H2595" s="10"/>
      <c r="I2595" s="10"/>
      <c r="J2595" s="10"/>
      <c r="K2595" s="10"/>
      <c r="L2595" s="10"/>
      <c r="M2595" s="10"/>
      <c r="N2595" s="10"/>
      <c r="O2595" s="3"/>
      <c r="P2595" s="10"/>
    </row>
    <row r="2596" spans="1:16" x14ac:dyDescent="0.15">
      <c r="A2596" s="10"/>
      <c r="B2596" s="3"/>
      <c r="C2596" s="10"/>
      <c r="D2596" s="10"/>
      <c r="E2596" s="10"/>
      <c r="F2596" s="10"/>
      <c r="G2596" s="10"/>
      <c r="H2596" s="10"/>
      <c r="I2596" s="10"/>
      <c r="J2596" s="10"/>
      <c r="K2596" s="10"/>
      <c r="L2596" s="10"/>
      <c r="M2596" s="10"/>
      <c r="N2596" s="10"/>
      <c r="O2596" s="3"/>
      <c r="P2596" s="10"/>
    </row>
    <row r="2597" spans="1:16" x14ac:dyDescent="0.15">
      <c r="A2597" s="10"/>
      <c r="B2597" s="3"/>
      <c r="C2597" s="10"/>
      <c r="D2597" s="10"/>
      <c r="E2597" s="10"/>
      <c r="F2597" s="10"/>
      <c r="G2597" s="10"/>
      <c r="H2597" s="10"/>
      <c r="I2597" s="10"/>
      <c r="J2597" s="10"/>
      <c r="K2597" s="10"/>
      <c r="L2597" s="10"/>
      <c r="M2597" s="10"/>
      <c r="N2597" s="10"/>
      <c r="O2597" s="3"/>
      <c r="P2597" s="10"/>
    </row>
    <row r="2598" spans="1:16" x14ac:dyDescent="0.15">
      <c r="A2598" s="10"/>
      <c r="B2598" s="3"/>
      <c r="C2598" s="10"/>
      <c r="D2598" s="10"/>
      <c r="E2598" s="10"/>
      <c r="F2598" s="10"/>
      <c r="G2598" s="10"/>
      <c r="H2598" s="10"/>
      <c r="I2598" s="10"/>
      <c r="J2598" s="10"/>
      <c r="K2598" s="10"/>
      <c r="L2598" s="10"/>
      <c r="M2598" s="10"/>
      <c r="N2598" s="10"/>
      <c r="O2598" s="3"/>
      <c r="P2598" s="10"/>
    </row>
    <row r="2599" spans="1:16" x14ac:dyDescent="0.15">
      <c r="A2599" s="10"/>
      <c r="B2599" s="3"/>
      <c r="C2599" s="10"/>
      <c r="D2599" s="10"/>
      <c r="E2599" s="10"/>
      <c r="F2599" s="10"/>
      <c r="G2599" s="10"/>
      <c r="H2599" s="10"/>
      <c r="I2599" s="10"/>
      <c r="J2599" s="10"/>
      <c r="K2599" s="10"/>
      <c r="L2599" s="10"/>
      <c r="M2599" s="10"/>
      <c r="N2599" s="10"/>
      <c r="O2599" s="3"/>
      <c r="P2599" s="10"/>
    </row>
    <row r="2600" spans="1:16" x14ac:dyDescent="0.15">
      <c r="A2600" s="10"/>
      <c r="B2600" s="3"/>
      <c r="C2600" s="10"/>
      <c r="D2600" s="10"/>
      <c r="E2600" s="10"/>
      <c r="F2600" s="10"/>
      <c r="G2600" s="10"/>
      <c r="H2600" s="10"/>
      <c r="I2600" s="10"/>
      <c r="J2600" s="10"/>
      <c r="K2600" s="10"/>
      <c r="L2600" s="10"/>
      <c r="M2600" s="10"/>
      <c r="N2600" s="10"/>
      <c r="O2600" s="3"/>
      <c r="P2600" s="10"/>
    </row>
    <row r="2601" spans="1:16" x14ac:dyDescent="0.15">
      <c r="A2601" s="10"/>
      <c r="B2601" s="3"/>
      <c r="C2601" s="10"/>
      <c r="D2601" s="10"/>
      <c r="E2601" s="10"/>
      <c r="F2601" s="10"/>
      <c r="G2601" s="10"/>
      <c r="H2601" s="10"/>
      <c r="I2601" s="10"/>
      <c r="J2601" s="10"/>
      <c r="K2601" s="10"/>
      <c r="L2601" s="10"/>
      <c r="M2601" s="10"/>
      <c r="N2601" s="10"/>
      <c r="O2601" s="3"/>
      <c r="P2601" s="10"/>
    </row>
    <row r="2602" spans="1:16" x14ac:dyDescent="0.15">
      <c r="A2602" s="10"/>
      <c r="B2602" s="3"/>
      <c r="C2602" s="10"/>
      <c r="D2602" s="10"/>
      <c r="E2602" s="10"/>
      <c r="F2602" s="10"/>
      <c r="G2602" s="10"/>
      <c r="H2602" s="10"/>
      <c r="I2602" s="10"/>
      <c r="J2602" s="10"/>
      <c r="K2602" s="10"/>
      <c r="L2602" s="10"/>
      <c r="M2602" s="10"/>
      <c r="N2602" s="10"/>
      <c r="O2602" s="3"/>
      <c r="P2602" s="10"/>
    </row>
    <row r="2603" spans="1:16" x14ac:dyDescent="0.15">
      <c r="A2603" s="10"/>
      <c r="B2603" s="3"/>
      <c r="C2603" s="10"/>
      <c r="D2603" s="10"/>
      <c r="E2603" s="10"/>
      <c r="F2603" s="10"/>
      <c r="G2603" s="10"/>
      <c r="H2603" s="10"/>
      <c r="I2603" s="10"/>
      <c r="J2603" s="10"/>
      <c r="K2603" s="10"/>
      <c r="L2603" s="10"/>
      <c r="M2603" s="10"/>
      <c r="N2603" s="10"/>
      <c r="O2603" s="3"/>
      <c r="P2603" s="10"/>
    </row>
    <row r="2604" spans="1:16" x14ac:dyDescent="0.15">
      <c r="A2604" s="10"/>
      <c r="B2604" s="3"/>
      <c r="C2604" s="10"/>
      <c r="D2604" s="10"/>
      <c r="E2604" s="10"/>
      <c r="F2604" s="10"/>
      <c r="G2604" s="10"/>
      <c r="H2604" s="10"/>
      <c r="I2604" s="10"/>
      <c r="J2604" s="10"/>
      <c r="K2604" s="10"/>
      <c r="L2604" s="10"/>
      <c r="M2604" s="10"/>
      <c r="N2604" s="10"/>
      <c r="O2604" s="3"/>
      <c r="P2604" s="10"/>
    </row>
    <row r="2605" spans="1:16" x14ac:dyDescent="0.15">
      <c r="A2605" s="10"/>
      <c r="B2605" s="3"/>
      <c r="C2605" s="10"/>
      <c r="D2605" s="10"/>
      <c r="E2605" s="10"/>
      <c r="F2605" s="10"/>
      <c r="G2605" s="10"/>
      <c r="H2605" s="10"/>
      <c r="I2605" s="10"/>
      <c r="J2605" s="10"/>
      <c r="K2605" s="10"/>
      <c r="L2605" s="10"/>
      <c r="M2605" s="10"/>
      <c r="N2605" s="10"/>
      <c r="O2605" s="3"/>
      <c r="P2605" s="10"/>
    </row>
    <row r="2606" spans="1:16" x14ac:dyDescent="0.15">
      <c r="A2606" s="10"/>
      <c r="B2606" s="3"/>
      <c r="C2606" s="10"/>
      <c r="D2606" s="10"/>
      <c r="E2606" s="10"/>
      <c r="F2606" s="10"/>
      <c r="G2606" s="10"/>
      <c r="H2606" s="10"/>
      <c r="I2606" s="10"/>
      <c r="J2606" s="10"/>
      <c r="K2606" s="10"/>
      <c r="L2606" s="10"/>
      <c r="M2606" s="10"/>
      <c r="N2606" s="10"/>
      <c r="O2606" s="3"/>
      <c r="P2606" s="10"/>
    </row>
    <row r="2607" spans="1:16" x14ac:dyDescent="0.15">
      <c r="A2607" s="10"/>
      <c r="B2607" s="3"/>
      <c r="C2607" s="10"/>
      <c r="D2607" s="10"/>
      <c r="E2607" s="10"/>
      <c r="F2607" s="10"/>
      <c r="G2607" s="10"/>
      <c r="H2607" s="10"/>
      <c r="I2607" s="10"/>
      <c r="J2607" s="10"/>
      <c r="K2607" s="10"/>
      <c r="L2607" s="10"/>
      <c r="M2607" s="10"/>
      <c r="N2607" s="10"/>
      <c r="O2607" s="3"/>
      <c r="P2607" s="10"/>
    </row>
    <row r="2608" spans="1:16" x14ac:dyDescent="0.15">
      <c r="A2608" s="10"/>
      <c r="B2608" s="3"/>
      <c r="C2608" s="10"/>
      <c r="D2608" s="10"/>
      <c r="E2608" s="10"/>
      <c r="F2608" s="10"/>
      <c r="G2608" s="10"/>
      <c r="H2608" s="10"/>
      <c r="I2608" s="10"/>
      <c r="J2608" s="10"/>
      <c r="K2608" s="10"/>
      <c r="L2608" s="10"/>
      <c r="M2608" s="10"/>
      <c r="N2608" s="10"/>
      <c r="O2608" s="3"/>
      <c r="P2608" s="10"/>
    </row>
    <row r="2609" spans="1:16" x14ac:dyDescent="0.15">
      <c r="A2609" s="10"/>
      <c r="B2609" s="3"/>
      <c r="C2609" s="10"/>
      <c r="D2609" s="10"/>
      <c r="E2609" s="10"/>
      <c r="F2609" s="10"/>
      <c r="G2609" s="10"/>
      <c r="H2609" s="10"/>
      <c r="I2609" s="10"/>
      <c r="J2609" s="10"/>
      <c r="K2609" s="10"/>
      <c r="L2609" s="10"/>
      <c r="M2609" s="10"/>
      <c r="N2609" s="10"/>
      <c r="O2609" s="3"/>
      <c r="P2609" s="10"/>
    </row>
    <row r="2610" spans="1:16" x14ac:dyDescent="0.15">
      <c r="A2610" s="10"/>
      <c r="B2610" s="3"/>
      <c r="C2610" s="10"/>
      <c r="D2610" s="10"/>
      <c r="E2610" s="10"/>
      <c r="F2610" s="10"/>
      <c r="G2610" s="10"/>
      <c r="H2610" s="10"/>
      <c r="I2610" s="10"/>
      <c r="J2610" s="10"/>
      <c r="K2610" s="10"/>
      <c r="L2610" s="10"/>
      <c r="M2610" s="10"/>
      <c r="N2610" s="10"/>
      <c r="O2610" s="3"/>
      <c r="P2610" s="10"/>
    </row>
    <row r="2611" spans="1:16" x14ac:dyDescent="0.15">
      <c r="A2611" s="10"/>
      <c r="B2611" s="3"/>
      <c r="C2611" s="10"/>
      <c r="D2611" s="10"/>
      <c r="E2611" s="10"/>
      <c r="F2611" s="10"/>
      <c r="G2611" s="10"/>
      <c r="H2611" s="10"/>
      <c r="I2611" s="10"/>
      <c r="J2611" s="10"/>
      <c r="K2611" s="10"/>
      <c r="L2611" s="10"/>
      <c r="M2611" s="10"/>
      <c r="N2611" s="10"/>
      <c r="O2611" s="3"/>
      <c r="P2611" s="10"/>
    </row>
    <row r="2612" spans="1:16" x14ac:dyDescent="0.15">
      <c r="A2612" s="10"/>
      <c r="B2612" s="3"/>
      <c r="C2612" s="10"/>
      <c r="D2612" s="10"/>
      <c r="E2612" s="10"/>
      <c r="F2612" s="10"/>
      <c r="G2612" s="10"/>
      <c r="H2612" s="10"/>
      <c r="I2612" s="10"/>
      <c r="J2612" s="10"/>
      <c r="K2612" s="10"/>
      <c r="L2612" s="10"/>
      <c r="M2612" s="10"/>
      <c r="N2612" s="10"/>
      <c r="O2612" s="3"/>
      <c r="P2612" s="10"/>
    </row>
    <row r="2613" spans="1:16" x14ac:dyDescent="0.15">
      <c r="A2613" s="10"/>
      <c r="B2613" s="3"/>
      <c r="C2613" s="10"/>
      <c r="D2613" s="10"/>
      <c r="E2613" s="10"/>
      <c r="F2613" s="10"/>
      <c r="G2613" s="10"/>
      <c r="H2613" s="10"/>
      <c r="I2613" s="10"/>
      <c r="J2613" s="10"/>
      <c r="K2613" s="10"/>
      <c r="L2613" s="10"/>
      <c r="M2613" s="10"/>
      <c r="N2613" s="10"/>
      <c r="O2613" s="3"/>
      <c r="P2613" s="10"/>
    </row>
    <row r="2614" spans="1:16" x14ac:dyDescent="0.15">
      <c r="A2614" s="10"/>
      <c r="B2614" s="3"/>
      <c r="C2614" s="10"/>
      <c r="D2614" s="10"/>
      <c r="E2614" s="10"/>
      <c r="F2614" s="10"/>
      <c r="G2614" s="10"/>
      <c r="H2614" s="10"/>
      <c r="I2614" s="10"/>
      <c r="J2614" s="10"/>
      <c r="K2614" s="10"/>
      <c r="L2614" s="10"/>
      <c r="M2614" s="10"/>
      <c r="N2614" s="10"/>
      <c r="O2614" s="3"/>
      <c r="P2614" s="10"/>
    </row>
    <row r="2615" spans="1:16" x14ac:dyDescent="0.15">
      <c r="A2615" s="10"/>
      <c r="B2615" s="3"/>
      <c r="C2615" s="10"/>
      <c r="D2615" s="10"/>
      <c r="E2615" s="10"/>
      <c r="F2615" s="10"/>
      <c r="G2615" s="10"/>
      <c r="H2615" s="10"/>
      <c r="I2615" s="10"/>
      <c r="J2615" s="10"/>
      <c r="K2615" s="10"/>
      <c r="L2615" s="10"/>
      <c r="M2615" s="10"/>
      <c r="N2615" s="10"/>
      <c r="O2615" s="3"/>
      <c r="P2615" s="10"/>
    </row>
    <row r="2616" spans="1:16" x14ac:dyDescent="0.15">
      <c r="A2616" s="10"/>
      <c r="B2616" s="3"/>
      <c r="C2616" s="10"/>
      <c r="D2616" s="10"/>
      <c r="E2616" s="10"/>
      <c r="F2616" s="10"/>
      <c r="G2616" s="10"/>
      <c r="H2616" s="10"/>
      <c r="I2616" s="10"/>
      <c r="J2616" s="10"/>
      <c r="K2616" s="10"/>
      <c r="L2616" s="10"/>
      <c r="M2616" s="10"/>
      <c r="N2616" s="10"/>
      <c r="O2616" s="3"/>
      <c r="P2616" s="10"/>
    </row>
    <row r="2617" spans="1:16" x14ac:dyDescent="0.15">
      <c r="A2617" s="10"/>
      <c r="B2617" s="3"/>
      <c r="C2617" s="10"/>
      <c r="D2617" s="10"/>
      <c r="E2617" s="10"/>
      <c r="F2617" s="10"/>
      <c r="G2617" s="10"/>
      <c r="H2617" s="10"/>
      <c r="I2617" s="10"/>
      <c r="J2617" s="10"/>
      <c r="K2617" s="10"/>
      <c r="L2617" s="10"/>
      <c r="M2617" s="10"/>
      <c r="N2617" s="10"/>
      <c r="O2617" s="3"/>
      <c r="P2617" s="10"/>
    </row>
    <row r="2618" spans="1:16" x14ac:dyDescent="0.15">
      <c r="A2618" s="10"/>
      <c r="B2618" s="3"/>
      <c r="C2618" s="10"/>
      <c r="D2618" s="10"/>
      <c r="E2618" s="10"/>
      <c r="F2618" s="10"/>
      <c r="G2618" s="10"/>
      <c r="H2618" s="10"/>
      <c r="I2618" s="10"/>
      <c r="J2618" s="10"/>
      <c r="K2618" s="10"/>
      <c r="L2618" s="10"/>
      <c r="M2618" s="10"/>
      <c r="N2618" s="10"/>
      <c r="O2618" s="3"/>
      <c r="P2618" s="10"/>
    </row>
    <row r="2619" spans="1:16" x14ac:dyDescent="0.15">
      <c r="A2619" s="10"/>
      <c r="B2619" s="3"/>
      <c r="C2619" s="10"/>
      <c r="D2619" s="10"/>
      <c r="E2619" s="10"/>
      <c r="F2619" s="10"/>
      <c r="G2619" s="10"/>
      <c r="H2619" s="10"/>
      <c r="I2619" s="10"/>
      <c r="J2619" s="10"/>
      <c r="K2619" s="10"/>
      <c r="L2619" s="10"/>
      <c r="M2619" s="10"/>
      <c r="N2619" s="10"/>
      <c r="O2619" s="3"/>
      <c r="P2619" s="10"/>
    </row>
    <row r="2620" spans="1:16" x14ac:dyDescent="0.15">
      <c r="A2620" s="10"/>
      <c r="B2620" s="3"/>
      <c r="C2620" s="10"/>
      <c r="D2620" s="10"/>
      <c r="E2620" s="10"/>
      <c r="F2620" s="10"/>
      <c r="G2620" s="10"/>
      <c r="H2620" s="10"/>
      <c r="I2620" s="10"/>
      <c r="J2620" s="10"/>
      <c r="K2620" s="10"/>
      <c r="L2620" s="10"/>
      <c r="M2620" s="10"/>
      <c r="N2620" s="10"/>
      <c r="O2620" s="3"/>
      <c r="P2620" s="10"/>
    </row>
    <row r="2621" spans="1:16" x14ac:dyDescent="0.15">
      <c r="A2621" s="10"/>
      <c r="B2621" s="3"/>
      <c r="C2621" s="10"/>
      <c r="D2621" s="10"/>
      <c r="E2621" s="10"/>
      <c r="F2621" s="10"/>
      <c r="G2621" s="10"/>
      <c r="H2621" s="10"/>
      <c r="I2621" s="10"/>
      <c r="J2621" s="10"/>
      <c r="K2621" s="10"/>
      <c r="L2621" s="10"/>
      <c r="M2621" s="10"/>
      <c r="N2621" s="10"/>
      <c r="O2621" s="3"/>
      <c r="P2621" s="10"/>
    </row>
    <row r="2622" spans="1:16" x14ac:dyDescent="0.15">
      <c r="A2622" s="10"/>
      <c r="B2622" s="3"/>
      <c r="C2622" s="10"/>
      <c r="D2622" s="10"/>
      <c r="E2622" s="10"/>
      <c r="F2622" s="10"/>
      <c r="G2622" s="10"/>
      <c r="H2622" s="10"/>
      <c r="I2622" s="10"/>
      <c r="J2622" s="10"/>
      <c r="K2622" s="10"/>
      <c r="L2622" s="10"/>
      <c r="M2622" s="10"/>
      <c r="N2622" s="10"/>
      <c r="O2622" s="3"/>
      <c r="P2622" s="10"/>
    </row>
    <row r="2623" spans="1:16" x14ac:dyDescent="0.15">
      <c r="A2623" s="10"/>
      <c r="B2623" s="3"/>
      <c r="C2623" s="10"/>
      <c r="D2623" s="10"/>
      <c r="E2623" s="10"/>
      <c r="F2623" s="10"/>
      <c r="G2623" s="10"/>
      <c r="H2623" s="10"/>
      <c r="I2623" s="10"/>
      <c r="J2623" s="10"/>
      <c r="K2623" s="10"/>
      <c r="L2623" s="10"/>
      <c r="M2623" s="10"/>
      <c r="N2623" s="10"/>
      <c r="O2623" s="3"/>
      <c r="P2623" s="10"/>
    </row>
    <row r="2624" spans="1:16" x14ac:dyDescent="0.15">
      <c r="A2624" s="10"/>
      <c r="B2624" s="3"/>
      <c r="C2624" s="10"/>
      <c r="D2624" s="10"/>
      <c r="E2624" s="10"/>
      <c r="F2624" s="10"/>
      <c r="G2624" s="10"/>
      <c r="H2624" s="10"/>
      <c r="I2624" s="10"/>
      <c r="J2624" s="10"/>
      <c r="K2624" s="10"/>
      <c r="L2624" s="10"/>
      <c r="M2624" s="10"/>
      <c r="N2624" s="10"/>
      <c r="O2624" s="3"/>
      <c r="P2624" s="10"/>
    </row>
    <row r="2625" spans="1:16" x14ac:dyDescent="0.15">
      <c r="A2625" s="10"/>
      <c r="B2625" s="3"/>
      <c r="C2625" s="10"/>
      <c r="D2625" s="10"/>
      <c r="E2625" s="10"/>
      <c r="F2625" s="10"/>
      <c r="G2625" s="10"/>
      <c r="H2625" s="10"/>
      <c r="I2625" s="10"/>
      <c r="J2625" s="10"/>
      <c r="K2625" s="10"/>
      <c r="L2625" s="10"/>
      <c r="M2625" s="10"/>
      <c r="N2625" s="10"/>
      <c r="O2625" s="3"/>
      <c r="P2625" s="10"/>
    </row>
    <row r="2626" spans="1:16" x14ac:dyDescent="0.15">
      <c r="A2626" s="10"/>
      <c r="B2626" s="3"/>
      <c r="C2626" s="10"/>
      <c r="D2626" s="10"/>
      <c r="E2626" s="10"/>
      <c r="F2626" s="10"/>
      <c r="G2626" s="10"/>
      <c r="H2626" s="10"/>
      <c r="I2626" s="10"/>
      <c r="J2626" s="10"/>
      <c r="K2626" s="10"/>
      <c r="L2626" s="10"/>
      <c r="M2626" s="10"/>
      <c r="N2626" s="10"/>
      <c r="O2626" s="3"/>
      <c r="P2626" s="10"/>
    </row>
    <row r="2627" spans="1:16" x14ac:dyDescent="0.15">
      <c r="A2627" s="10"/>
      <c r="B2627" s="3"/>
      <c r="C2627" s="10"/>
      <c r="D2627" s="10"/>
      <c r="E2627" s="10"/>
      <c r="F2627" s="10"/>
      <c r="G2627" s="10"/>
      <c r="H2627" s="10"/>
      <c r="I2627" s="10"/>
      <c r="J2627" s="10"/>
      <c r="K2627" s="10"/>
      <c r="L2627" s="10"/>
      <c r="M2627" s="10"/>
      <c r="N2627" s="10"/>
      <c r="O2627" s="3"/>
      <c r="P2627" s="10"/>
    </row>
    <row r="2628" spans="1:16" x14ac:dyDescent="0.15">
      <c r="A2628" s="10"/>
      <c r="B2628" s="3"/>
      <c r="C2628" s="10"/>
      <c r="D2628" s="10"/>
      <c r="E2628" s="10"/>
      <c r="F2628" s="10"/>
      <c r="G2628" s="10"/>
      <c r="H2628" s="10"/>
      <c r="I2628" s="10"/>
      <c r="J2628" s="10"/>
      <c r="K2628" s="10"/>
      <c r="L2628" s="10"/>
      <c r="M2628" s="10"/>
      <c r="N2628" s="10"/>
      <c r="O2628" s="3"/>
      <c r="P2628" s="10"/>
    </row>
    <row r="2629" spans="1:16" x14ac:dyDescent="0.15">
      <c r="A2629" s="10"/>
      <c r="B2629" s="3"/>
      <c r="C2629" s="10"/>
      <c r="D2629" s="10"/>
      <c r="E2629" s="10"/>
      <c r="F2629" s="10"/>
      <c r="G2629" s="10"/>
      <c r="H2629" s="10"/>
      <c r="I2629" s="10"/>
      <c r="J2629" s="10"/>
      <c r="K2629" s="10"/>
      <c r="L2629" s="10"/>
      <c r="M2629" s="10"/>
      <c r="N2629" s="10"/>
      <c r="O2629" s="3"/>
      <c r="P2629" s="10"/>
    </row>
    <row r="2630" spans="1:16" x14ac:dyDescent="0.15">
      <c r="A2630" s="10"/>
      <c r="B2630" s="3"/>
      <c r="C2630" s="10"/>
      <c r="D2630" s="10"/>
      <c r="E2630" s="10"/>
      <c r="F2630" s="10"/>
      <c r="G2630" s="10"/>
      <c r="H2630" s="10"/>
      <c r="I2630" s="10"/>
      <c r="J2630" s="10"/>
      <c r="K2630" s="10"/>
      <c r="L2630" s="10"/>
      <c r="M2630" s="10"/>
      <c r="N2630" s="10"/>
      <c r="O2630" s="3"/>
      <c r="P2630" s="10"/>
    </row>
    <row r="2631" spans="1:16" x14ac:dyDescent="0.15">
      <c r="A2631" s="10"/>
      <c r="B2631" s="3"/>
      <c r="C2631" s="10"/>
      <c r="D2631" s="10"/>
      <c r="E2631" s="10"/>
      <c r="F2631" s="10"/>
      <c r="G2631" s="10"/>
      <c r="H2631" s="10"/>
      <c r="I2631" s="10"/>
      <c r="J2631" s="10"/>
      <c r="K2631" s="10"/>
      <c r="L2631" s="10"/>
      <c r="M2631" s="10"/>
      <c r="N2631" s="10"/>
      <c r="O2631" s="3"/>
      <c r="P2631" s="10"/>
    </row>
    <row r="2632" spans="1:16" x14ac:dyDescent="0.15">
      <c r="A2632" s="10"/>
      <c r="B2632" s="3"/>
      <c r="C2632" s="10"/>
      <c r="D2632" s="10"/>
      <c r="E2632" s="10"/>
      <c r="F2632" s="10"/>
      <c r="G2632" s="10"/>
      <c r="H2632" s="10"/>
      <c r="I2632" s="10"/>
      <c r="J2632" s="10"/>
      <c r="K2632" s="10"/>
      <c r="L2632" s="10"/>
      <c r="M2632" s="10"/>
      <c r="N2632" s="10"/>
      <c r="O2632" s="3"/>
      <c r="P2632" s="10"/>
    </row>
    <row r="2633" spans="1:16" x14ac:dyDescent="0.15">
      <c r="A2633" s="10"/>
      <c r="B2633" s="3"/>
      <c r="C2633" s="10"/>
      <c r="D2633" s="10"/>
      <c r="E2633" s="10"/>
      <c r="F2633" s="10"/>
      <c r="G2633" s="10"/>
      <c r="H2633" s="10"/>
      <c r="I2633" s="10"/>
      <c r="J2633" s="10"/>
      <c r="K2633" s="10"/>
      <c r="L2633" s="10"/>
      <c r="M2633" s="10"/>
      <c r="N2633" s="10"/>
      <c r="O2633" s="3"/>
      <c r="P2633" s="10"/>
    </row>
    <row r="2634" spans="1:16" x14ac:dyDescent="0.15">
      <c r="A2634" s="10"/>
      <c r="B2634" s="3"/>
      <c r="C2634" s="10"/>
      <c r="D2634" s="10"/>
      <c r="E2634" s="10"/>
      <c r="F2634" s="10"/>
      <c r="G2634" s="10"/>
      <c r="H2634" s="10"/>
      <c r="I2634" s="10"/>
      <c r="J2634" s="10"/>
      <c r="K2634" s="10"/>
      <c r="L2634" s="10"/>
      <c r="M2634" s="10"/>
      <c r="N2634" s="10"/>
      <c r="O2634" s="3"/>
      <c r="P2634" s="10"/>
    </row>
    <row r="2635" spans="1:16" x14ac:dyDescent="0.15">
      <c r="A2635" s="10"/>
      <c r="B2635" s="3"/>
      <c r="C2635" s="10"/>
      <c r="D2635" s="10"/>
      <c r="E2635" s="10"/>
      <c r="F2635" s="10"/>
      <c r="G2635" s="10"/>
      <c r="H2635" s="10"/>
      <c r="I2635" s="10"/>
      <c r="J2635" s="10"/>
      <c r="K2635" s="10"/>
      <c r="L2635" s="10"/>
      <c r="M2635" s="10"/>
      <c r="N2635" s="10"/>
      <c r="O2635" s="3"/>
      <c r="P2635" s="10"/>
    </row>
    <row r="2636" spans="1:16" x14ac:dyDescent="0.15">
      <c r="A2636" s="10"/>
      <c r="B2636" s="3"/>
      <c r="C2636" s="10"/>
      <c r="D2636" s="10"/>
      <c r="E2636" s="10"/>
      <c r="F2636" s="10"/>
      <c r="G2636" s="10"/>
      <c r="H2636" s="10"/>
      <c r="I2636" s="10"/>
      <c r="J2636" s="10"/>
      <c r="K2636" s="10"/>
      <c r="L2636" s="10"/>
      <c r="M2636" s="10"/>
      <c r="N2636" s="10"/>
      <c r="O2636" s="3"/>
      <c r="P2636" s="10"/>
    </row>
    <row r="2637" spans="1:16" x14ac:dyDescent="0.15">
      <c r="A2637" s="10"/>
      <c r="B2637" s="3"/>
      <c r="C2637" s="10"/>
      <c r="D2637" s="10"/>
      <c r="E2637" s="10"/>
      <c r="F2637" s="10"/>
      <c r="G2637" s="10"/>
      <c r="H2637" s="10"/>
      <c r="I2637" s="10"/>
      <c r="J2637" s="10"/>
      <c r="K2637" s="10"/>
      <c r="L2637" s="10"/>
      <c r="M2637" s="10"/>
      <c r="N2637" s="10"/>
      <c r="O2637" s="3"/>
      <c r="P2637" s="10"/>
    </row>
    <row r="2638" spans="1:16" x14ac:dyDescent="0.15">
      <c r="A2638" s="10"/>
      <c r="B2638" s="3"/>
      <c r="C2638" s="10"/>
      <c r="D2638" s="10"/>
      <c r="E2638" s="10"/>
      <c r="F2638" s="10"/>
      <c r="G2638" s="10"/>
      <c r="H2638" s="10"/>
      <c r="I2638" s="10"/>
      <c r="J2638" s="10"/>
      <c r="K2638" s="10"/>
      <c r="L2638" s="10"/>
      <c r="M2638" s="10"/>
      <c r="N2638" s="10"/>
      <c r="O2638" s="3"/>
      <c r="P2638" s="10"/>
    </row>
    <row r="2639" spans="1:16" x14ac:dyDescent="0.15">
      <c r="A2639" s="10"/>
      <c r="B2639" s="3"/>
      <c r="C2639" s="10"/>
      <c r="D2639" s="10"/>
      <c r="E2639" s="10"/>
      <c r="F2639" s="10"/>
      <c r="G2639" s="10"/>
      <c r="H2639" s="10"/>
      <c r="I2639" s="10"/>
      <c r="J2639" s="10"/>
      <c r="K2639" s="10"/>
      <c r="L2639" s="10"/>
      <c r="M2639" s="10"/>
      <c r="N2639" s="10"/>
      <c r="O2639" s="3"/>
      <c r="P2639" s="10"/>
    </row>
    <row r="2640" spans="1:16" x14ac:dyDescent="0.15">
      <c r="A2640" s="10"/>
      <c r="B2640" s="3"/>
      <c r="C2640" s="10"/>
      <c r="D2640" s="10"/>
      <c r="E2640" s="10"/>
      <c r="F2640" s="10"/>
      <c r="G2640" s="10"/>
      <c r="H2640" s="10"/>
      <c r="I2640" s="10"/>
      <c r="J2640" s="10"/>
      <c r="K2640" s="10"/>
      <c r="L2640" s="10"/>
      <c r="M2640" s="10"/>
      <c r="N2640" s="10"/>
      <c r="O2640" s="3"/>
      <c r="P2640" s="10"/>
    </row>
    <row r="2641" spans="1:16" x14ac:dyDescent="0.15">
      <c r="A2641" s="10"/>
      <c r="B2641" s="3"/>
      <c r="C2641" s="10"/>
      <c r="D2641" s="10"/>
      <c r="E2641" s="10"/>
      <c r="F2641" s="10"/>
      <c r="G2641" s="10"/>
      <c r="H2641" s="10"/>
      <c r="I2641" s="10"/>
      <c r="J2641" s="10"/>
      <c r="K2641" s="10"/>
      <c r="L2641" s="10"/>
      <c r="M2641" s="10"/>
      <c r="N2641" s="10"/>
      <c r="O2641" s="3"/>
      <c r="P2641" s="10"/>
    </row>
    <row r="2642" spans="1:16" x14ac:dyDescent="0.15">
      <c r="A2642" s="10"/>
      <c r="B2642" s="3"/>
      <c r="C2642" s="10"/>
      <c r="D2642" s="10"/>
      <c r="E2642" s="10"/>
      <c r="F2642" s="10"/>
      <c r="G2642" s="10"/>
      <c r="H2642" s="10"/>
      <c r="I2642" s="10"/>
      <c r="J2642" s="10"/>
      <c r="K2642" s="10"/>
      <c r="L2642" s="10"/>
      <c r="M2642" s="10"/>
      <c r="N2642" s="10"/>
      <c r="O2642" s="3"/>
      <c r="P2642" s="10"/>
    </row>
    <row r="2643" spans="1:16" x14ac:dyDescent="0.15">
      <c r="A2643" s="10"/>
      <c r="B2643" s="3"/>
      <c r="C2643" s="10"/>
      <c r="D2643" s="10"/>
      <c r="E2643" s="10"/>
      <c r="F2643" s="10"/>
      <c r="G2643" s="10"/>
      <c r="H2643" s="10"/>
      <c r="I2643" s="10"/>
      <c r="J2643" s="10"/>
      <c r="K2643" s="10"/>
      <c r="L2643" s="10"/>
      <c r="M2643" s="10"/>
      <c r="N2643" s="10"/>
      <c r="O2643" s="3"/>
      <c r="P2643" s="10"/>
    </row>
    <row r="2644" spans="1:16" x14ac:dyDescent="0.15">
      <c r="A2644" s="10"/>
      <c r="B2644" s="3"/>
      <c r="C2644" s="10"/>
      <c r="D2644" s="10"/>
      <c r="E2644" s="10"/>
      <c r="F2644" s="10"/>
      <c r="G2644" s="10"/>
      <c r="H2644" s="10"/>
      <c r="I2644" s="10"/>
      <c r="J2644" s="10"/>
      <c r="K2644" s="10"/>
      <c r="L2644" s="10"/>
      <c r="M2644" s="10"/>
      <c r="N2644" s="10"/>
      <c r="O2644" s="3"/>
      <c r="P2644" s="10"/>
    </row>
    <row r="2645" spans="1:16" x14ac:dyDescent="0.15">
      <c r="A2645" s="10"/>
      <c r="B2645" s="3"/>
      <c r="C2645" s="10"/>
      <c r="D2645" s="10"/>
      <c r="E2645" s="10"/>
      <c r="F2645" s="10"/>
      <c r="G2645" s="10"/>
      <c r="H2645" s="10"/>
      <c r="I2645" s="10"/>
      <c r="J2645" s="10"/>
      <c r="K2645" s="10"/>
      <c r="L2645" s="10"/>
      <c r="M2645" s="10"/>
      <c r="N2645" s="10"/>
      <c r="O2645" s="3"/>
      <c r="P2645" s="10"/>
    </row>
    <row r="2646" spans="1:16" x14ac:dyDescent="0.15">
      <c r="A2646" s="10"/>
      <c r="B2646" s="3"/>
      <c r="C2646" s="10"/>
      <c r="D2646" s="10"/>
      <c r="E2646" s="10"/>
      <c r="F2646" s="10"/>
      <c r="G2646" s="10"/>
      <c r="H2646" s="10"/>
      <c r="I2646" s="10"/>
      <c r="J2646" s="10"/>
      <c r="K2646" s="10"/>
      <c r="L2646" s="10"/>
      <c r="M2646" s="10"/>
      <c r="N2646" s="10"/>
      <c r="O2646" s="3"/>
      <c r="P2646" s="10"/>
    </row>
    <row r="2647" spans="1:16" x14ac:dyDescent="0.15">
      <c r="A2647" s="10"/>
      <c r="B2647" s="3"/>
      <c r="C2647" s="10"/>
      <c r="D2647" s="10"/>
      <c r="E2647" s="10"/>
      <c r="F2647" s="10"/>
      <c r="G2647" s="10"/>
      <c r="H2647" s="10"/>
      <c r="I2647" s="10"/>
      <c r="J2647" s="10"/>
      <c r="K2647" s="10"/>
      <c r="L2647" s="10"/>
      <c r="M2647" s="10"/>
      <c r="N2647" s="10"/>
      <c r="O2647" s="3"/>
      <c r="P2647" s="10"/>
    </row>
    <row r="2648" spans="1:16" x14ac:dyDescent="0.15">
      <c r="A2648" s="10"/>
      <c r="B2648" s="3"/>
      <c r="C2648" s="10"/>
      <c r="D2648" s="10"/>
      <c r="E2648" s="10"/>
      <c r="F2648" s="10"/>
      <c r="G2648" s="10"/>
      <c r="H2648" s="10"/>
      <c r="I2648" s="10"/>
      <c r="J2648" s="10"/>
      <c r="K2648" s="10"/>
      <c r="L2648" s="10"/>
      <c r="M2648" s="10"/>
      <c r="N2648" s="10"/>
      <c r="O2648" s="3"/>
      <c r="P2648" s="10"/>
    </row>
    <row r="2649" spans="1:16" x14ac:dyDescent="0.15">
      <c r="A2649" s="10"/>
      <c r="B2649" s="3"/>
      <c r="C2649" s="10"/>
      <c r="D2649" s="10"/>
      <c r="E2649" s="10"/>
      <c r="F2649" s="10"/>
      <c r="G2649" s="10"/>
      <c r="H2649" s="10"/>
      <c r="I2649" s="10"/>
      <c r="J2649" s="10"/>
      <c r="K2649" s="10"/>
      <c r="L2649" s="10"/>
      <c r="M2649" s="10"/>
      <c r="N2649" s="10"/>
      <c r="O2649" s="3"/>
      <c r="P2649" s="10"/>
    </row>
    <row r="2650" spans="1:16" x14ac:dyDescent="0.15">
      <c r="A2650" s="10"/>
      <c r="B2650" s="3"/>
      <c r="C2650" s="10"/>
      <c r="D2650" s="10"/>
      <c r="E2650" s="10"/>
      <c r="F2650" s="10"/>
      <c r="G2650" s="10"/>
      <c r="H2650" s="10"/>
      <c r="I2650" s="10"/>
      <c r="J2650" s="10"/>
      <c r="K2650" s="10"/>
      <c r="L2650" s="10"/>
      <c r="M2650" s="10"/>
      <c r="N2650" s="10"/>
      <c r="O2650" s="3"/>
      <c r="P2650" s="10"/>
    </row>
    <row r="2651" spans="1:16" x14ac:dyDescent="0.15">
      <c r="A2651" s="10"/>
      <c r="B2651" s="3"/>
      <c r="C2651" s="10"/>
      <c r="D2651" s="10"/>
      <c r="E2651" s="10"/>
      <c r="F2651" s="10"/>
      <c r="G2651" s="10"/>
      <c r="H2651" s="10"/>
      <c r="I2651" s="10"/>
      <c r="J2651" s="10"/>
      <c r="K2651" s="10"/>
      <c r="L2651" s="10"/>
      <c r="M2651" s="10"/>
      <c r="N2651" s="10"/>
      <c r="O2651" s="3"/>
      <c r="P2651" s="10"/>
    </row>
    <row r="2652" spans="1:16" x14ac:dyDescent="0.15">
      <c r="A2652" s="10"/>
      <c r="B2652" s="3"/>
      <c r="C2652" s="10"/>
      <c r="D2652" s="10"/>
      <c r="E2652" s="10"/>
      <c r="F2652" s="10"/>
      <c r="G2652" s="10"/>
      <c r="H2652" s="10"/>
      <c r="I2652" s="10"/>
      <c r="J2652" s="10"/>
      <c r="K2652" s="10"/>
      <c r="L2652" s="10"/>
      <c r="M2652" s="10"/>
      <c r="N2652" s="10"/>
      <c r="O2652" s="3"/>
      <c r="P2652" s="10"/>
    </row>
    <row r="2653" spans="1:16" x14ac:dyDescent="0.15">
      <c r="A2653" s="10"/>
      <c r="B2653" s="3"/>
      <c r="C2653" s="10"/>
      <c r="D2653" s="10"/>
      <c r="E2653" s="10"/>
      <c r="F2653" s="10"/>
      <c r="G2653" s="10"/>
      <c r="H2653" s="10"/>
      <c r="I2653" s="10"/>
      <c r="J2653" s="10"/>
      <c r="K2653" s="10"/>
      <c r="L2653" s="10"/>
      <c r="M2653" s="10"/>
      <c r="N2653" s="10"/>
      <c r="O2653" s="3"/>
      <c r="P2653" s="10"/>
    </row>
    <row r="2654" spans="1:16" x14ac:dyDescent="0.15">
      <c r="A2654" s="10"/>
      <c r="B2654" s="3"/>
      <c r="C2654" s="10"/>
      <c r="D2654" s="10"/>
      <c r="E2654" s="10"/>
      <c r="F2654" s="10"/>
      <c r="G2654" s="10"/>
      <c r="H2654" s="10"/>
      <c r="I2654" s="10"/>
      <c r="J2654" s="10"/>
      <c r="K2654" s="10"/>
      <c r="L2654" s="10"/>
      <c r="M2654" s="10"/>
      <c r="N2654" s="10"/>
      <c r="O2654" s="3"/>
      <c r="P2654" s="10"/>
    </row>
    <row r="2655" spans="1:16" x14ac:dyDescent="0.15">
      <c r="A2655" s="10"/>
      <c r="B2655" s="3"/>
      <c r="C2655" s="10"/>
      <c r="D2655" s="10"/>
      <c r="E2655" s="10"/>
      <c r="F2655" s="10"/>
      <c r="G2655" s="10"/>
      <c r="H2655" s="10"/>
      <c r="I2655" s="10"/>
      <c r="J2655" s="10"/>
      <c r="K2655" s="10"/>
      <c r="L2655" s="10"/>
      <c r="M2655" s="10"/>
      <c r="N2655" s="10"/>
      <c r="O2655" s="3"/>
      <c r="P2655" s="10"/>
    </row>
    <row r="2656" spans="1:16" x14ac:dyDescent="0.15">
      <c r="A2656" s="10"/>
      <c r="B2656" s="3"/>
      <c r="C2656" s="10"/>
      <c r="D2656" s="10"/>
      <c r="E2656" s="10"/>
      <c r="F2656" s="10"/>
      <c r="G2656" s="10"/>
      <c r="H2656" s="10"/>
      <c r="I2656" s="10"/>
      <c r="J2656" s="10"/>
      <c r="K2656" s="10"/>
      <c r="L2656" s="10"/>
      <c r="M2656" s="10"/>
      <c r="N2656" s="10"/>
      <c r="O2656" s="3"/>
      <c r="P2656" s="10"/>
    </row>
    <row r="2657" spans="1:16" x14ac:dyDescent="0.15">
      <c r="A2657" s="10"/>
      <c r="B2657" s="3"/>
      <c r="C2657" s="10"/>
      <c r="D2657" s="10"/>
      <c r="E2657" s="10"/>
      <c r="F2657" s="10"/>
      <c r="G2657" s="10"/>
      <c r="H2657" s="10"/>
      <c r="I2657" s="10"/>
      <c r="J2657" s="10"/>
      <c r="K2657" s="10"/>
      <c r="L2657" s="10"/>
      <c r="M2657" s="10"/>
      <c r="N2657" s="10"/>
      <c r="O2657" s="3"/>
      <c r="P2657" s="10"/>
    </row>
    <row r="2658" spans="1:16" x14ac:dyDescent="0.15">
      <c r="A2658" s="10"/>
      <c r="B2658" s="3"/>
      <c r="C2658" s="10"/>
      <c r="D2658" s="10"/>
      <c r="E2658" s="10"/>
      <c r="F2658" s="10"/>
      <c r="G2658" s="10"/>
      <c r="H2658" s="10"/>
      <c r="I2658" s="10"/>
      <c r="J2658" s="10"/>
      <c r="K2658" s="10"/>
      <c r="L2658" s="10"/>
      <c r="M2658" s="10"/>
      <c r="N2658" s="10"/>
      <c r="O2658" s="3"/>
      <c r="P2658" s="10"/>
    </row>
    <row r="2659" spans="1:16" x14ac:dyDescent="0.15">
      <c r="A2659" s="10"/>
      <c r="B2659" s="3"/>
      <c r="C2659" s="10"/>
      <c r="D2659" s="10"/>
      <c r="E2659" s="10"/>
      <c r="F2659" s="10"/>
      <c r="G2659" s="10"/>
      <c r="H2659" s="10"/>
      <c r="I2659" s="10"/>
      <c r="J2659" s="10"/>
      <c r="K2659" s="10"/>
      <c r="L2659" s="10"/>
      <c r="M2659" s="10"/>
      <c r="N2659" s="10"/>
      <c r="O2659" s="3"/>
      <c r="P2659" s="10"/>
    </row>
    <row r="2660" spans="1:16" x14ac:dyDescent="0.15">
      <c r="A2660" s="10"/>
      <c r="B2660" s="3"/>
      <c r="C2660" s="10"/>
      <c r="D2660" s="10"/>
      <c r="E2660" s="10"/>
      <c r="F2660" s="10"/>
      <c r="G2660" s="10"/>
      <c r="H2660" s="10"/>
      <c r="I2660" s="10"/>
      <c r="J2660" s="10"/>
      <c r="K2660" s="10"/>
      <c r="L2660" s="10"/>
      <c r="M2660" s="10"/>
      <c r="N2660" s="10"/>
      <c r="O2660" s="3"/>
      <c r="P2660" s="10"/>
    </row>
    <row r="2661" spans="1:16" x14ac:dyDescent="0.15">
      <c r="A2661" s="10"/>
      <c r="B2661" s="3"/>
      <c r="C2661" s="10"/>
      <c r="D2661" s="10"/>
      <c r="E2661" s="10"/>
      <c r="F2661" s="10"/>
      <c r="G2661" s="10"/>
      <c r="H2661" s="10"/>
      <c r="I2661" s="10"/>
      <c r="J2661" s="10"/>
      <c r="K2661" s="10"/>
      <c r="L2661" s="10"/>
      <c r="M2661" s="10"/>
      <c r="N2661" s="10"/>
      <c r="O2661" s="3"/>
      <c r="P2661" s="10"/>
    </row>
    <row r="2662" spans="1:16" x14ac:dyDescent="0.15">
      <c r="A2662" s="10"/>
      <c r="B2662" s="3"/>
      <c r="C2662" s="10"/>
      <c r="D2662" s="10"/>
      <c r="E2662" s="10"/>
      <c r="F2662" s="10"/>
      <c r="G2662" s="10"/>
      <c r="H2662" s="10"/>
      <c r="I2662" s="10"/>
      <c r="J2662" s="10"/>
      <c r="K2662" s="10"/>
      <c r="L2662" s="10"/>
      <c r="M2662" s="10"/>
      <c r="N2662" s="10"/>
      <c r="O2662" s="3"/>
      <c r="P2662" s="10"/>
    </row>
    <row r="2663" spans="1:16" x14ac:dyDescent="0.15">
      <c r="A2663" s="10"/>
      <c r="B2663" s="3"/>
      <c r="C2663" s="10"/>
      <c r="D2663" s="10"/>
      <c r="E2663" s="10"/>
      <c r="F2663" s="10"/>
      <c r="G2663" s="10"/>
      <c r="H2663" s="10"/>
      <c r="I2663" s="10"/>
      <c r="J2663" s="10"/>
      <c r="K2663" s="10"/>
      <c r="L2663" s="10"/>
      <c r="M2663" s="10"/>
      <c r="N2663" s="10"/>
      <c r="O2663" s="3"/>
      <c r="P2663" s="10"/>
    </row>
    <row r="2664" spans="1:16" x14ac:dyDescent="0.15">
      <c r="A2664" s="10"/>
      <c r="B2664" s="3"/>
      <c r="C2664" s="10"/>
      <c r="D2664" s="10"/>
      <c r="E2664" s="10"/>
      <c r="F2664" s="10"/>
      <c r="G2664" s="10"/>
      <c r="H2664" s="10"/>
      <c r="I2664" s="10"/>
      <c r="J2664" s="10"/>
      <c r="K2664" s="10"/>
      <c r="L2664" s="10"/>
      <c r="M2664" s="10"/>
      <c r="N2664" s="10"/>
      <c r="O2664" s="3"/>
      <c r="P2664" s="10"/>
    </row>
    <row r="2665" spans="1:16" x14ac:dyDescent="0.15">
      <c r="A2665" s="10"/>
      <c r="B2665" s="3"/>
      <c r="C2665" s="10"/>
      <c r="D2665" s="10"/>
      <c r="E2665" s="10"/>
      <c r="F2665" s="10"/>
      <c r="G2665" s="10"/>
      <c r="H2665" s="10"/>
      <c r="I2665" s="10"/>
      <c r="J2665" s="10"/>
      <c r="K2665" s="10"/>
      <c r="L2665" s="10"/>
      <c r="M2665" s="10"/>
      <c r="N2665" s="10"/>
      <c r="O2665" s="3"/>
      <c r="P2665" s="10"/>
    </row>
    <row r="2666" spans="1:16" x14ac:dyDescent="0.15">
      <c r="A2666" s="10"/>
      <c r="B2666" s="3"/>
      <c r="C2666" s="10"/>
      <c r="D2666" s="10"/>
      <c r="E2666" s="10"/>
      <c r="F2666" s="10"/>
      <c r="G2666" s="10"/>
      <c r="H2666" s="10"/>
      <c r="I2666" s="10"/>
      <c r="J2666" s="10"/>
      <c r="K2666" s="10"/>
      <c r="L2666" s="10"/>
      <c r="M2666" s="10"/>
      <c r="N2666" s="10"/>
      <c r="O2666" s="3"/>
      <c r="P2666" s="10"/>
    </row>
    <row r="2667" spans="1:16" x14ac:dyDescent="0.15">
      <c r="A2667" s="10"/>
      <c r="B2667" s="3"/>
      <c r="C2667" s="10"/>
      <c r="D2667" s="10"/>
      <c r="E2667" s="10"/>
      <c r="F2667" s="10"/>
      <c r="G2667" s="10"/>
      <c r="H2667" s="10"/>
      <c r="I2667" s="10"/>
      <c r="J2667" s="10"/>
      <c r="K2667" s="10"/>
      <c r="L2667" s="10"/>
      <c r="M2667" s="10"/>
      <c r="N2667" s="10"/>
      <c r="O2667" s="3"/>
      <c r="P2667" s="10"/>
    </row>
    <row r="2668" spans="1:16" x14ac:dyDescent="0.15">
      <c r="A2668" s="10"/>
      <c r="B2668" s="3"/>
      <c r="C2668" s="10"/>
      <c r="D2668" s="10"/>
      <c r="E2668" s="10"/>
      <c r="F2668" s="10"/>
      <c r="G2668" s="10"/>
      <c r="H2668" s="10"/>
      <c r="I2668" s="10"/>
      <c r="J2668" s="10"/>
      <c r="K2668" s="10"/>
      <c r="L2668" s="10"/>
      <c r="M2668" s="10"/>
      <c r="N2668" s="10"/>
      <c r="O2668" s="3"/>
      <c r="P2668" s="10"/>
    </row>
    <row r="2669" spans="1:16" x14ac:dyDescent="0.15">
      <c r="A2669" s="10"/>
      <c r="B2669" s="3"/>
      <c r="C2669" s="10"/>
      <c r="D2669" s="10"/>
      <c r="E2669" s="10"/>
      <c r="F2669" s="10"/>
      <c r="G2669" s="10"/>
      <c r="H2669" s="10"/>
      <c r="I2669" s="10"/>
      <c r="J2669" s="10"/>
      <c r="K2669" s="10"/>
      <c r="L2669" s="10"/>
      <c r="M2669" s="10"/>
      <c r="N2669" s="10"/>
      <c r="O2669" s="3"/>
      <c r="P2669" s="10"/>
    </row>
    <row r="2670" spans="1:16" x14ac:dyDescent="0.15">
      <c r="A2670" s="10"/>
      <c r="B2670" s="3"/>
      <c r="C2670" s="10"/>
      <c r="D2670" s="10"/>
      <c r="E2670" s="10"/>
      <c r="F2670" s="10"/>
      <c r="G2670" s="10"/>
      <c r="H2670" s="10"/>
      <c r="I2670" s="10"/>
      <c r="J2670" s="10"/>
      <c r="K2670" s="10"/>
      <c r="L2670" s="10"/>
      <c r="M2670" s="10"/>
      <c r="N2670" s="10"/>
      <c r="O2670" s="3"/>
      <c r="P2670" s="10"/>
    </row>
    <row r="2671" spans="1:16" x14ac:dyDescent="0.15">
      <c r="A2671" s="10"/>
      <c r="B2671" s="3"/>
      <c r="C2671" s="10"/>
      <c r="D2671" s="10"/>
      <c r="E2671" s="10"/>
      <c r="F2671" s="10"/>
      <c r="G2671" s="10"/>
      <c r="H2671" s="10"/>
      <c r="I2671" s="10"/>
      <c r="J2671" s="10"/>
      <c r="K2671" s="10"/>
      <c r="L2671" s="10"/>
      <c r="M2671" s="10"/>
      <c r="N2671" s="10"/>
      <c r="O2671" s="3"/>
      <c r="P2671" s="10"/>
    </row>
    <row r="2672" spans="1:16" x14ac:dyDescent="0.15">
      <c r="A2672" s="10"/>
      <c r="B2672" s="3"/>
      <c r="C2672" s="10"/>
      <c r="D2672" s="10"/>
      <c r="E2672" s="10"/>
      <c r="F2672" s="10"/>
      <c r="G2672" s="10"/>
      <c r="H2672" s="10"/>
      <c r="I2672" s="10"/>
      <c r="J2672" s="10"/>
      <c r="K2672" s="10"/>
      <c r="L2672" s="10"/>
      <c r="M2672" s="10"/>
      <c r="N2672" s="10"/>
      <c r="O2672" s="3"/>
      <c r="P2672" s="10"/>
    </row>
    <row r="2673" spans="1:16" x14ac:dyDescent="0.15">
      <c r="A2673" s="10"/>
      <c r="B2673" s="3"/>
      <c r="C2673" s="10"/>
      <c r="D2673" s="10"/>
      <c r="E2673" s="10"/>
      <c r="F2673" s="10"/>
      <c r="G2673" s="10"/>
      <c r="H2673" s="10"/>
      <c r="I2673" s="10"/>
      <c r="J2673" s="10"/>
      <c r="K2673" s="10"/>
      <c r="L2673" s="10"/>
      <c r="M2673" s="10"/>
      <c r="N2673" s="10"/>
      <c r="O2673" s="3"/>
      <c r="P2673" s="10"/>
    </row>
    <row r="2674" spans="1:16" x14ac:dyDescent="0.15">
      <c r="A2674" s="10"/>
      <c r="B2674" s="3"/>
      <c r="C2674" s="10"/>
      <c r="D2674" s="10"/>
      <c r="E2674" s="10"/>
      <c r="F2674" s="10"/>
      <c r="G2674" s="10"/>
      <c r="H2674" s="10"/>
      <c r="I2674" s="10"/>
      <c r="J2674" s="10"/>
      <c r="K2674" s="10"/>
      <c r="L2674" s="10"/>
      <c r="M2674" s="10"/>
      <c r="N2674" s="10"/>
      <c r="O2674" s="3"/>
      <c r="P2674" s="10"/>
    </row>
    <row r="2675" spans="1:16" x14ac:dyDescent="0.15">
      <c r="A2675" s="10"/>
      <c r="B2675" s="3"/>
      <c r="C2675" s="10"/>
      <c r="D2675" s="10"/>
      <c r="E2675" s="10"/>
      <c r="F2675" s="10"/>
      <c r="G2675" s="10"/>
      <c r="H2675" s="10"/>
      <c r="I2675" s="10"/>
      <c r="J2675" s="10"/>
      <c r="K2675" s="10"/>
      <c r="L2675" s="10"/>
      <c r="M2675" s="10"/>
      <c r="N2675" s="10"/>
      <c r="O2675" s="3"/>
      <c r="P2675" s="10"/>
    </row>
    <row r="2676" spans="1:16" x14ac:dyDescent="0.15">
      <c r="A2676" s="10"/>
      <c r="B2676" s="3"/>
      <c r="C2676" s="10"/>
      <c r="D2676" s="10"/>
      <c r="E2676" s="10"/>
      <c r="F2676" s="10"/>
      <c r="G2676" s="10"/>
      <c r="H2676" s="10"/>
      <c r="I2676" s="10"/>
      <c r="J2676" s="10"/>
      <c r="K2676" s="10"/>
      <c r="L2676" s="10"/>
      <c r="M2676" s="10"/>
      <c r="N2676" s="10"/>
      <c r="O2676" s="3"/>
      <c r="P2676" s="10"/>
    </row>
    <row r="2677" spans="1:16" x14ac:dyDescent="0.15">
      <c r="A2677" s="10"/>
      <c r="B2677" s="3"/>
      <c r="C2677" s="10"/>
      <c r="D2677" s="10"/>
      <c r="E2677" s="10"/>
      <c r="F2677" s="10"/>
      <c r="G2677" s="10"/>
      <c r="H2677" s="10"/>
      <c r="I2677" s="10"/>
      <c r="J2677" s="10"/>
      <c r="K2677" s="10"/>
      <c r="L2677" s="10"/>
      <c r="M2677" s="10"/>
      <c r="N2677" s="10"/>
      <c r="O2677" s="3"/>
      <c r="P2677" s="10"/>
    </row>
    <row r="2678" spans="1:16" x14ac:dyDescent="0.15">
      <c r="A2678" s="10"/>
      <c r="B2678" s="3"/>
      <c r="C2678" s="10"/>
      <c r="D2678" s="10"/>
      <c r="E2678" s="10"/>
      <c r="F2678" s="10"/>
      <c r="G2678" s="10"/>
      <c r="H2678" s="10"/>
      <c r="I2678" s="10"/>
      <c r="J2678" s="10"/>
      <c r="K2678" s="10"/>
      <c r="L2678" s="10"/>
      <c r="M2678" s="10"/>
      <c r="N2678" s="10"/>
      <c r="O2678" s="3"/>
      <c r="P2678" s="10"/>
    </row>
    <row r="2679" spans="1:16" x14ac:dyDescent="0.15">
      <c r="A2679" s="10"/>
      <c r="B2679" s="3"/>
      <c r="C2679" s="10"/>
      <c r="D2679" s="10"/>
      <c r="E2679" s="10"/>
      <c r="F2679" s="10"/>
      <c r="G2679" s="10"/>
      <c r="H2679" s="10"/>
      <c r="I2679" s="10"/>
      <c r="J2679" s="10"/>
      <c r="K2679" s="10"/>
      <c r="L2679" s="10"/>
      <c r="M2679" s="10"/>
      <c r="N2679" s="10"/>
      <c r="O2679" s="3"/>
      <c r="P2679" s="10"/>
    </row>
    <row r="2680" spans="1:16" x14ac:dyDescent="0.15">
      <c r="A2680" s="10"/>
      <c r="B2680" s="3"/>
      <c r="C2680" s="10"/>
      <c r="D2680" s="10"/>
      <c r="E2680" s="10"/>
      <c r="F2680" s="10"/>
      <c r="G2680" s="10"/>
      <c r="H2680" s="10"/>
      <c r="I2680" s="10"/>
      <c r="J2680" s="10"/>
      <c r="K2680" s="10"/>
      <c r="L2680" s="10"/>
      <c r="M2680" s="10"/>
      <c r="N2680" s="10"/>
      <c r="O2680" s="3"/>
      <c r="P2680" s="10"/>
    </row>
    <row r="2681" spans="1:16" x14ac:dyDescent="0.15">
      <c r="A2681" s="10"/>
      <c r="B2681" s="3"/>
      <c r="C2681" s="10"/>
      <c r="D2681" s="10"/>
      <c r="E2681" s="10"/>
      <c r="F2681" s="10"/>
      <c r="G2681" s="10"/>
      <c r="H2681" s="10"/>
      <c r="I2681" s="10"/>
      <c r="J2681" s="10"/>
      <c r="K2681" s="10"/>
      <c r="L2681" s="10"/>
      <c r="M2681" s="10"/>
      <c r="N2681" s="10"/>
      <c r="O2681" s="3"/>
      <c r="P2681" s="10"/>
    </row>
    <row r="2682" spans="1:16" x14ac:dyDescent="0.15">
      <c r="A2682" s="10"/>
      <c r="B2682" s="3"/>
      <c r="C2682" s="10"/>
      <c r="D2682" s="10"/>
      <c r="E2682" s="10"/>
      <c r="F2682" s="10"/>
      <c r="G2682" s="10"/>
      <c r="H2682" s="10"/>
      <c r="I2682" s="10"/>
      <c r="J2682" s="10"/>
      <c r="K2682" s="10"/>
      <c r="L2682" s="10"/>
      <c r="M2682" s="10"/>
      <c r="N2682" s="10"/>
      <c r="O2682" s="3"/>
      <c r="P2682" s="10"/>
    </row>
    <row r="2683" spans="1:16" x14ac:dyDescent="0.15">
      <c r="A2683" s="10"/>
      <c r="B2683" s="3"/>
      <c r="C2683" s="10"/>
      <c r="D2683" s="10"/>
      <c r="E2683" s="10"/>
      <c r="F2683" s="10"/>
      <c r="G2683" s="10"/>
      <c r="H2683" s="10"/>
      <c r="I2683" s="10"/>
      <c r="J2683" s="10"/>
      <c r="K2683" s="10"/>
      <c r="L2683" s="10"/>
      <c r="M2683" s="10"/>
      <c r="N2683" s="10"/>
      <c r="O2683" s="3"/>
      <c r="P2683" s="10"/>
    </row>
    <row r="2684" spans="1:16" x14ac:dyDescent="0.15">
      <c r="A2684" s="10"/>
      <c r="B2684" s="3"/>
      <c r="C2684" s="10"/>
      <c r="D2684" s="10"/>
      <c r="E2684" s="10"/>
      <c r="F2684" s="10"/>
      <c r="G2684" s="10"/>
      <c r="H2684" s="10"/>
      <c r="I2684" s="10"/>
      <c r="J2684" s="10"/>
      <c r="K2684" s="10"/>
      <c r="L2684" s="10"/>
      <c r="M2684" s="10"/>
      <c r="N2684" s="10"/>
      <c r="O2684" s="3"/>
      <c r="P2684" s="10"/>
    </row>
    <row r="2685" spans="1:16" x14ac:dyDescent="0.15">
      <c r="A2685" s="10"/>
      <c r="B2685" s="3"/>
      <c r="C2685" s="10"/>
      <c r="D2685" s="10"/>
      <c r="E2685" s="10"/>
      <c r="F2685" s="10"/>
      <c r="G2685" s="10"/>
      <c r="H2685" s="10"/>
      <c r="I2685" s="10"/>
      <c r="J2685" s="10"/>
      <c r="K2685" s="10"/>
      <c r="L2685" s="10"/>
      <c r="M2685" s="10"/>
      <c r="N2685" s="10"/>
      <c r="O2685" s="3"/>
      <c r="P2685" s="10"/>
    </row>
    <row r="2686" spans="1:16" x14ac:dyDescent="0.15">
      <c r="A2686" s="10"/>
      <c r="B2686" s="3"/>
      <c r="C2686" s="10"/>
      <c r="D2686" s="10"/>
      <c r="E2686" s="10"/>
      <c r="F2686" s="10"/>
      <c r="G2686" s="10"/>
      <c r="H2686" s="10"/>
      <c r="I2686" s="10"/>
      <c r="J2686" s="10"/>
      <c r="K2686" s="10"/>
      <c r="L2686" s="10"/>
      <c r="M2686" s="10"/>
      <c r="N2686" s="10"/>
      <c r="O2686" s="3"/>
      <c r="P2686" s="10"/>
    </row>
    <row r="2687" spans="1:16" x14ac:dyDescent="0.15">
      <c r="A2687" s="10"/>
      <c r="B2687" s="3"/>
      <c r="C2687" s="10"/>
      <c r="D2687" s="10"/>
      <c r="E2687" s="10"/>
      <c r="F2687" s="10"/>
      <c r="G2687" s="10"/>
      <c r="H2687" s="10"/>
      <c r="I2687" s="10"/>
      <c r="J2687" s="10"/>
      <c r="K2687" s="10"/>
      <c r="L2687" s="10"/>
      <c r="M2687" s="10"/>
      <c r="N2687" s="10"/>
      <c r="O2687" s="3"/>
      <c r="P2687" s="10"/>
    </row>
    <row r="2688" spans="1:16" x14ac:dyDescent="0.15">
      <c r="A2688" s="10"/>
      <c r="B2688" s="3"/>
      <c r="C2688" s="10"/>
      <c r="D2688" s="10"/>
      <c r="E2688" s="10"/>
      <c r="F2688" s="10"/>
      <c r="G2688" s="10"/>
      <c r="H2688" s="10"/>
      <c r="I2688" s="10"/>
      <c r="J2688" s="10"/>
      <c r="K2688" s="10"/>
      <c r="L2688" s="10"/>
      <c r="M2688" s="10"/>
      <c r="N2688" s="10"/>
      <c r="O2688" s="3"/>
      <c r="P2688" s="10"/>
    </row>
    <row r="2689" spans="1:16" x14ac:dyDescent="0.15">
      <c r="A2689" s="10"/>
      <c r="B2689" s="3"/>
      <c r="C2689" s="10"/>
      <c r="D2689" s="10"/>
      <c r="E2689" s="10"/>
      <c r="F2689" s="10"/>
      <c r="G2689" s="10"/>
      <c r="H2689" s="10"/>
      <c r="I2689" s="10"/>
      <c r="J2689" s="10"/>
      <c r="K2689" s="10"/>
      <c r="L2689" s="10"/>
      <c r="M2689" s="10"/>
      <c r="N2689" s="10"/>
      <c r="O2689" s="3"/>
      <c r="P2689" s="10"/>
    </row>
    <row r="2690" spans="1:16" x14ac:dyDescent="0.15">
      <c r="A2690" s="10"/>
      <c r="B2690" s="3"/>
      <c r="C2690" s="10"/>
      <c r="D2690" s="10"/>
      <c r="E2690" s="10"/>
      <c r="F2690" s="10"/>
      <c r="G2690" s="10"/>
      <c r="H2690" s="10"/>
      <c r="I2690" s="10"/>
      <c r="J2690" s="10"/>
      <c r="K2690" s="10"/>
      <c r="L2690" s="10"/>
      <c r="M2690" s="10"/>
      <c r="N2690" s="10"/>
      <c r="O2690" s="3"/>
      <c r="P2690" s="10"/>
    </row>
    <row r="2691" spans="1:16" x14ac:dyDescent="0.15">
      <c r="A2691" s="10"/>
      <c r="B2691" s="3"/>
      <c r="C2691" s="10"/>
      <c r="D2691" s="10"/>
      <c r="E2691" s="10"/>
      <c r="F2691" s="10"/>
      <c r="G2691" s="10"/>
      <c r="H2691" s="10"/>
      <c r="I2691" s="10"/>
      <c r="J2691" s="10"/>
      <c r="K2691" s="10"/>
      <c r="L2691" s="10"/>
      <c r="M2691" s="10"/>
      <c r="N2691" s="10"/>
      <c r="O2691" s="3"/>
      <c r="P2691" s="10"/>
    </row>
    <row r="2692" spans="1:16" x14ac:dyDescent="0.15">
      <c r="A2692" s="10"/>
      <c r="B2692" s="3"/>
      <c r="C2692" s="10"/>
      <c r="D2692" s="10"/>
      <c r="E2692" s="10"/>
      <c r="F2692" s="10"/>
      <c r="G2692" s="10"/>
      <c r="H2692" s="10"/>
      <c r="I2692" s="10"/>
      <c r="J2692" s="10"/>
      <c r="K2692" s="10"/>
      <c r="L2692" s="10"/>
      <c r="M2692" s="10"/>
      <c r="N2692" s="10"/>
      <c r="O2692" s="3"/>
      <c r="P2692" s="10"/>
    </row>
    <row r="2693" spans="1:16" x14ac:dyDescent="0.15">
      <c r="A2693" s="10"/>
      <c r="B2693" s="3"/>
      <c r="C2693" s="10"/>
      <c r="D2693" s="10"/>
      <c r="E2693" s="10"/>
      <c r="F2693" s="10"/>
      <c r="G2693" s="10"/>
      <c r="H2693" s="10"/>
      <c r="I2693" s="10"/>
      <c r="J2693" s="10"/>
      <c r="K2693" s="10"/>
      <c r="L2693" s="10"/>
      <c r="M2693" s="10"/>
      <c r="N2693" s="10"/>
      <c r="O2693" s="3"/>
      <c r="P2693" s="10"/>
    </row>
    <row r="2694" spans="1:16" x14ac:dyDescent="0.15">
      <c r="A2694" s="10"/>
      <c r="B2694" s="3"/>
      <c r="C2694" s="10"/>
      <c r="D2694" s="10"/>
      <c r="E2694" s="10"/>
      <c r="F2694" s="10"/>
      <c r="G2694" s="10"/>
      <c r="H2694" s="10"/>
      <c r="I2694" s="10"/>
      <c r="J2694" s="10"/>
      <c r="K2694" s="10"/>
      <c r="L2694" s="10"/>
      <c r="M2694" s="10"/>
      <c r="N2694" s="10"/>
      <c r="O2694" s="3"/>
      <c r="P2694" s="10"/>
    </row>
    <row r="2695" spans="1:16" x14ac:dyDescent="0.15">
      <c r="A2695" s="10"/>
      <c r="B2695" s="3"/>
      <c r="C2695" s="10"/>
      <c r="D2695" s="10"/>
      <c r="E2695" s="10"/>
      <c r="F2695" s="10"/>
      <c r="G2695" s="10"/>
      <c r="H2695" s="10"/>
      <c r="I2695" s="10"/>
      <c r="J2695" s="10"/>
      <c r="K2695" s="10"/>
      <c r="L2695" s="10"/>
      <c r="M2695" s="10"/>
      <c r="N2695" s="10"/>
      <c r="O2695" s="3"/>
      <c r="P2695" s="10"/>
    </row>
    <row r="2696" spans="1:16" x14ac:dyDescent="0.15">
      <c r="A2696" s="10"/>
      <c r="B2696" s="3"/>
      <c r="C2696" s="10"/>
      <c r="D2696" s="10"/>
      <c r="E2696" s="10"/>
      <c r="F2696" s="10"/>
      <c r="G2696" s="10"/>
      <c r="H2696" s="10"/>
      <c r="I2696" s="10"/>
      <c r="J2696" s="10"/>
      <c r="K2696" s="10"/>
      <c r="L2696" s="10"/>
      <c r="M2696" s="10"/>
      <c r="N2696" s="10"/>
      <c r="O2696" s="3"/>
      <c r="P2696" s="10"/>
    </row>
    <row r="2697" spans="1:16" x14ac:dyDescent="0.15">
      <c r="A2697" s="10"/>
      <c r="B2697" s="3"/>
      <c r="C2697" s="10"/>
      <c r="D2697" s="10"/>
      <c r="E2697" s="10"/>
      <c r="F2697" s="10"/>
      <c r="G2697" s="10"/>
      <c r="H2697" s="10"/>
      <c r="I2697" s="10"/>
      <c r="J2697" s="10"/>
      <c r="K2697" s="10"/>
      <c r="L2697" s="10"/>
      <c r="M2697" s="10"/>
      <c r="N2697" s="10"/>
      <c r="O2697" s="3"/>
      <c r="P2697" s="10"/>
    </row>
    <row r="2698" spans="1:16" x14ac:dyDescent="0.15">
      <c r="A2698" s="10"/>
      <c r="B2698" s="3"/>
      <c r="C2698" s="10"/>
      <c r="D2698" s="10"/>
      <c r="E2698" s="10"/>
      <c r="F2698" s="10"/>
      <c r="G2698" s="10"/>
      <c r="H2698" s="10"/>
      <c r="I2698" s="10"/>
      <c r="J2698" s="10"/>
      <c r="K2698" s="10"/>
      <c r="L2698" s="10"/>
      <c r="M2698" s="10"/>
      <c r="N2698" s="10"/>
      <c r="O2698" s="3"/>
      <c r="P2698" s="10"/>
    </row>
    <row r="2699" spans="1:16" x14ac:dyDescent="0.15">
      <c r="A2699" s="10"/>
      <c r="B2699" s="3"/>
      <c r="C2699" s="10"/>
      <c r="D2699" s="10"/>
      <c r="E2699" s="10"/>
      <c r="F2699" s="10"/>
      <c r="G2699" s="10"/>
      <c r="H2699" s="10"/>
      <c r="I2699" s="10"/>
      <c r="J2699" s="10"/>
      <c r="K2699" s="10"/>
      <c r="L2699" s="10"/>
      <c r="M2699" s="10"/>
      <c r="N2699" s="10"/>
      <c r="O2699" s="3"/>
      <c r="P2699" s="10"/>
    </row>
    <row r="2700" spans="1:16" x14ac:dyDescent="0.15">
      <c r="A2700" s="10"/>
      <c r="B2700" s="3"/>
      <c r="C2700" s="10"/>
      <c r="D2700" s="10"/>
      <c r="E2700" s="10"/>
      <c r="F2700" s="10"/>
      <c r="G2700" s="10"/>
      <c r="H2700" s="10"/>
      <c r="I2700" s="10"/>
      <c r="J2700" s="10"/>
      <c r="K2700" s="10"/>
      <c r="L2700" s="10"/>
      <c r="M2700" s="10"/>
      <c r="N2700" s="10"/>
      <c r="O2700" s="3"/>
      <c r="P2700" s="10"/>
    </row>
    <row r="2701" spans="1:16" x14ac:dyDescent="0.15">
      <c r="A2701" s="10"/>
      <c r="B2701" s="3"/>
      <c r="C2701" s="10"/>
      <c r="D2701" s="10"/>
      <c r="E2701" s="10"/>
      <c r="F2701" s="10"/>
      <c r="G2701" s="10"/>
      <c r="H2701" s="10"/>
      <c r="I2701" s="10"/>
      <c r="J2701" s="10"/>
      <c r="K2701" s="10"/>
      <c r="L2701" s="10"/>
      <c r="M2701" s="10"/>
      <c r="N2701" s="10"/>
      <c r="O2701" s="3"/>
      <c r="P2701" s="10"/>
    </row>
    <row r="2702" spans="1:16" x14ac:dyDescent="0.15">
      <c r="A2702" s="10"/>
      <c r="B2702" s="3"/>
      <c r="C2702" s="10"/>
      <c r="D2702" s="10"/>
      <c r="E2702" s="10"/>
      <c r="F2702" s="10"/>
      <c r="G2702" s="10"/>
      <c r="H2702" s="10"/>
      <c r="I2702" s="10"/>
      <c r="J2702" s="10"/>
      <c r="K2702" s="10"/>
      <c r="L2702" s="10"/>
      <c r="M2702" s="10"/>
      <c r="N2702" s="10"/>
      <c r="O2702" s="3"/>
      <c r="P2702" s="10"/>
    </row>
    <row r="2703" spans="1:16" x14ac:dyDescent="0.15">
      <c r="A2703" s="10"/>
      <c r="B2703" s="3"/>
      <c r="C2703" s="10"/>
      <c r="D2703" s="10"/>
      <c r="E2703" s="10"/>
      <c r="F2703" s="10"/>
      <c r="G2703" s="10"/>
      <c r="H2703" s="10"/>
      <c r="I2703" s="10"/>
      <c r="J2703" s="10"/>
      <c r="K2703" s="10"/>
      <c r="L2703" s="10"/>
      <c r="M2703" s="10"/>
      <c r="N2703" s="10"/>
      <c r="O2703" s="3"/>
      <c r="P2703" s="10"/>
    </row>
    <row r="2704" spans="1:16" x14ac:dyDescent="0.15">
      <c r="A2704" s="10"/>
      <c r="B2704" s="3"/>
      <c r="C2704" s="10"/>
      <c r="D2704" s="10"/>
      <c r="E2704" s="10"/>
      <c r="F2704" s="10"/>
      <c r="G2704" s="10"/>
      <c r="H2704" s="10"/>
      <c r="I2704" s="10"/>
      <c r="J2704" s="10"/>
      <c r="K2704" s="10"/>
      <c r="L2704" s="10"/>
      <c r="M2704" s="10"/>
      <c r="N2704" s="10"/>
      <c r="O2704" s="3"/>
      <c r="P2704" s="10"/>
    </row>
    <row r="2705" spans="1:16" x14ac:dyDescent="0.15">
      <c r="A2705" s="10"/>
      <c r="B2705" s="3"/>
      <c r="C2705" s="10"/>
      <c r="D2705" s="10"/>
      <c r="E2705" s="10"/>
      <c r="F2705" s="10"/>
      <c r="G2705" s="10"/>
      <c r="H2705" s="10"/>
      <c r="I2705" s="10"/>
      <c r="J2705" s="10"/>
      <c r="K2705" s="10"/>
      <c r="L2705" s="10"/>
      <c r="M2705" s="10"/>
      <c r="N2705" s="10"/>
      <c r="O2705" s="3"/>
      <c r="P2705" s="10"/>
    </row>
    <row r="2706" spans="1:16" x14ac:dyDescent="0.15">
      <c r="A2706" s="10"/>
      <c r="B2706" s="3"/>
      <c r="C2706" s="10"/>
      <c r="D2706" s="10"/>
      <c r="E2706" s="10"/>
      <c r="F2706" s="10"/>
      <c r="G2706" s="10"/>
      <c r="H2706" s="10"/>
      <c r="I2706" s="10"/>
      <c r="J2706" s="10"/>
      <c r="K2706" s="10"/>
      <c r="L2706" s="10"/>
      <c r="M2706" s="10"/>
      <c r="N2706" s="10"/>
      <c r="O2706" s="3"/>
      <c r="P2706" s="10"/>
    </row>
    <row r="2707" spans="1:16" x14ac:dyDescent="0.15">
      <c r="A2707" s="10"/>
      <c r="B2707" s="3"/>
      <c r="C2707" s="10"/>
      <c r="D2707" s="10"/>
      <c r="E2707" s="10"/>
      <c r="F2707" s="10"/>
      <c r="G2707" s="10"/>
      <c r="H2707" s="10"/>
      <c r="I2707" s="10"/>
      <c r="J2707" s="10"/>
      <c r="K2707" s="10"/>
      <c r="L2707" s="10"/>
      <c r="M2707" s="10"/>
      <c r="N2707" s="10"/>
      <c r="O2707" s="3"/>
      <c r="P2707" s="10"/>
    </row>
    <row r="2708" spans="1:16" x14ac:dyDescent="0.15">
      <c r="A2708" s="10"/>
      <c r="B2708" s="3"/>
      <c r="C2708" s="10"/>
      <c r="D2708" s="10"/>
      <c r="E2708" s="10"/>
      <c r="F2708" s="10"/>
      <c r="G2708" s="10"/>
      <c r="H2708" s="10"/>
      <c r="I2708" s="10"/>
      <c r="J2708" s="10"/>
      <c r="K2708" s="10"/>
      <c r="L2708" s="10"/>
      <c r="M2708" s="10"/>
      <c r="N2708" s="10"/>
      <c r="O2708" s="3"/>
      <c r="P2708" s="10"/>
    </row>
    <row r="2709" spans="1:16" x14ac:dyDescent="0.15">
      <c r="A2709" s="10"/>
      <c r="B2709" s="3"/>
      <c r="C2709" s="10"/>
      <c r="D2709" s="10"/>
      <c r="E2709" s="10"/>
      <c r="F2709" s="10"/>
      <c r="G2709" s="10"/>
      <c r="H2709" s="10"/>
      <c r="I2709" s="10"/>
      <c r="J2709" s="10"/>
      <c r="K2709" s="10"/>
      <c r="L2709" s="10"/>
      <c r="M2709" s="10"/>
      <c r="N2709" s="10"/>
      <c r="O2709" s="3"/>
      <c r="P2709" s="10"/>
    </row>
    <row r="2710" spans="1:16" x14ac:dyDescent="0.15">
      <c r="A2710" s="10"/>
      <c r="B2710" s="3"/>
      <c r="C2710" s="10"/>
      <c r="D2710" s="10"/>
      <c r="E2710" s="10"/>
      <c r="F2710" s="10"/>
      <c r="G2710" s="10"/>
      <c r="H2710" s="10"/>
      <c r="I2710" s="10"/>
      <c r="J2710" s="10"/>
      <c r="K2710" s="10"/>
      <c r="L2710" s="10"/>
      <c r="M2710" s="10"/>
      <c r="N2710" s="10"/>
      <c r="O2710" s="3"/>
      <c r="P2710" s="10"/>
    </row>
    <row r="2711" spans="1:16" x14ac:dyDescent="0.15">
      <c r="A2711" s="10"/>
      <c r="B2711" s="3"/>
      <c r="C2711" s="10"/>
      <c r="D2711" s="10"/>
      <c r="E2711" s="10"/>
      <c r="F2711" s="10"/>
      <c r="G2711" s="10"/>
      <c r="H2711" s="10"/>
      <c r="I2711" s="10"/>
      <c r="J2711" s="10"/>
      <c r="K2711" s="10"/>
      <c r="L2711" s="10"/>
      <c r="M2711" s="10"/>
      <c r="N2711" s="10"/>
      <c r="O2711" s="3"/>
      <c r="P2711" s="10"/>
    </row>
    <row r="2712" spans="1:16" x14ac:dyDescent="0.15">
      <c r="A2712" s="10"/>
      <c r="B2712" s="3"/>
      <c r="C2712" s="10"/>
      <c r="D2712" s="10"/>
      <c r="E2712" s="10"/>
      <c r="F2712" s="10"/>
      <c r="G2712" s="10"/>
      <c r="H2712" s="10"/>
      <c r="I2712" s="10"/>
      <c r="J2712" s="10"/>
      <c r="K2712" s="10"/>
      <c r="L2712" s="10"/>
      <c r="M2712" s="10"/>
      <c r="N2712" s="10"/>
      <c r="O2712" s="3"/>
      <c r="P2712" s="10"/>
    </row>
    <row r="2713" spans="1:16" x14ac:dyDescent="0.15">
      <c r="A2713" s="10"/>
      <c r="B2713" s="3"/>
      <c r="C2713" s="10"/>
      <c r="D2713" s="10"/>
      <c r="E2713" s="10"/>
      <c r="F2713" s="10"/>
      <c r="G2713" s="10"/>
      <c r="H2713" s="10"/>
      <c r="I2713" s="10"/>
      <c r="J2713" s="10"/>
      <c r="K2713" s="10"/>
      <c r="L2713" s="10"/>
      <c r="M2713" s="10"/>
      <c r="N2713" s="10"/>
      <c r="O2713" s="3"/>
      <c r="P2713" s="10"/>
    </row>
    <row r="2714" spans="1:16" x14ac:dyDescent="0.15">
      <c r="A2714" s="10"/>
      <c r="B2714" s="3"/>
      <c r="C2714" s="10"/>
      <c r="D2714" s="10"/>
      <c r="E2714" s="10"/>
      <c r="F2714" s="10"/>
      <c r="G2714" s="10"/>
      <c r="H2714" s="10"/>
      <c r="I2714" s="10"/>
      <c r="J2714" s="10"/>
      <c r="K2714" s="10"/>
      <c r="L2714" s="10"/>
      <c r="M2714" s="10"/>
      <c r="N2714" s="10"/>
      <c r="O2714" s="3"/>
      <c r="P2714" s="10"/>
    </row>
    <row r="2715" spans="1:16" x14ac:dyDescent="0.15">
      <c r="A2715" s="10"/>
      <c r="B2715" s="3"/>
      <c r="C2715" s="10"/>
      <c r="D2715" s="10"/>
      <c r="E2715" s="10"/>
      <c r="F2715" s="10"/>
      <c r="G2715" s="10"/>
      <c r="H2715" s="10"/>
      <c r="I2715" s="10"/>
      <c r="J2715" s="10"/>
      <c r="K2715" s="10"/>
      <c r="L2715" s="10"/>
      <c r="M2715" s="10"/>
      <c r="N2715" s="10"/>
      <c r="O2715" s="3"/>
      <c r="P2715" s="10"/>
    </row>
    <row r="2716" spans="1:16" x14ac:dyDescent="0.15">
      <c r="A2716" s="10"/>
      <c r="B2716" s="3"/>
      <c r="C2716" s="10"/>
      <c r="D2716" s="10"/>
      <c r="E2716" s="10"/>
      <c r="F2716" s="10"/>
      <c r="G2716" s="10"/>
      <c r="H2716" s="10"/>
      <c r="I2716" s="10"/>
      <c r="J2716" s="10"/>
      <c r="K2716" s="10"/>
      <c r="L2716" s="10"/>
      <c r="M2716" s="10"/>
      <c r="N2716" s="10"/>
      <c r="O2716" s="3"/>
      <c r="P2716" s="10"/>
    </row>
    <row r="2717" spans="1:16" x14ac:dyDescent="0.15">
      <c r="A2717" s="10"/>
      <c r="B2717" s="3"/>
      <c r="C2717" s="10"/>
      <c r="D2717" s="10"/>
      <c r="E2717" s="10"/>
      <c r="F2717" s="10"/>
      <c r="G2717" s="10"/>
      <c r="H2717" s="10"/>
      <c r="I2717" s="10"/>
      <c r="J2717" s="10"/>
      <c r="K2717" s="10"/>
      <c r="L2717" s="10"/>
      <c r="M2717" s="10"/>
      <c r="N2717" s="10"/>
      <c r="O2717" s="3"/>
      <c r="P2717" s="10"/>
    </row>
    <row r="2718" spans="1:16" x14ac:dyDescent="0.15">
      <c r="A2718" s="10"/>
      <c r="B2718" s="3"/>
      <c r="C2718" s="10"/>
      <c r="D2718" s="10"/>
      <c r="E2718" s="10"/>
      <c r="F2718" s="10"/>
      <c r="G2718" s="10"/>
      <c r="H2718" s="10"/>
      <c r="I2718" s="10"/>
      <c r="J2718" s="10"/>
      <c r="K2718" s="10"/>
      <c r="L2718" s="10"/>
      <c r="M2718" s="10"/>
      <c r="N2718" s="10"/>
      <c r="O2718" s="3"/>
      <c r="P2718" s="10"/>
    </row>
    <row r="2719" spans="1:16" x14ac:dyDescent="0.15">
      <c r="A2719" s="10"/>
      <c r="B2719" s="3"/>
      <c r="C2719" s="10"/>
      <c r="D2719" s="10"/>
      <c r="E2719" s="10"/>
      <c r="F2719" s="10"/>
      <c r="G2719" s="10"/>
      <c r="H2719" s="10"/>
      <c r="I2719" s="10"/>
      <c r="J2719" s="10"/>
      <c r="K2719" s="10"/>
      <c r="L2719" s="10"/>
      <c r="M2719" s="10"/>
      <c r="N2719" s="10"/>
      <c r="O2719" s="3"/>
      <c r="P2719" s="10"/>
    </row>
    <row r="2720" spans="1:16" x14ac:dyDescent="0.15">
      <c r="A2720" s="10"/>
      <c r="B2720" s="3"/>
      <c r="C2720" s="10"/>
      <c r="D2720" s="10"/>
      <c r="E2720" s="10"/>
      <c r="F2720" s="10"/>
      <c r="G2720" s="10"/>
      <c r="H2720" s="10"/>
      <c r="I2720" s="10"/>
      <c r="J2720" s="10"/>
      <c r="K2720" s="10"/>
      <c r="L2720" s="10"/>
      <c r="M2720" s="10"/>
      <c r="N2720" s="10"/>
      <c r="O2720" s="3"/>
      <c r="P2720" s="10"/>
    </row>
    <row r="2721" spans="1:16" x14ac:dyDescent="0.15">
      <c r="A2721" s="10"/>
      <c r="B2721" s="3"/>
      <c r="C2721" s="10"/>
      <c r="D2721" s="10"/>
      <c r="E2721" s="10"/>
      <c r="F2721" s="10"/>
      <c r="G2721" s="10"/>
      <c r="H2721" s="10"/>
      <c r="I2721" s="10"/>
      <c r="J2721" s="10"/>
      <c r="K2721" s="10"/>
      <c r="L2721" s="10"/>
      <c r="M2721" s="10"/>
      <c r="N2721" s="10"/>
      <c r="O2721" s="3"/>
      <c r="P2721" s="10"/>
    </row>
    <row r="2722" spans="1:16" x14ac:dyDescent="0.15">
      <c r="A2722" s="10"/>
      <c r="B2722" s="3"/>
      <c r="C2722" s="10"/>
      <c r="D2722" s="10"/>
      <c r="E2722" s="10"/>
      <c r="F2722" s="10"/>
      <c r="G2722" s="10"/>
      <c r="H2722" s="10"/>
      <c r="I2722" s="10"/>
      <c r="J2722" s="10"/>
      <c r="K2722" s="10"/>
      <c r="L2722" s="10"/>
      <c r="M2722" s="10"/>
      <c r="N2722" s="10"/>
      <c r="O2722" s="3"/>
      <c r="P2722" s="10"/>
    </row>
    <row r="2723" spans="1:16" x14ac:dyDescent="0.15">
      <c r="A2723" s="10"/>
      <c r="B2723" s="3"/>
      <c r="C2723" s="10"/>
      <c r="D2723" s="10"/>
      <c r="E2723" s="10"/>
      <c r="F2723" s="10"/>
      <c r="G2723" s="10"/>
      <c r="H2723" s="10"/>
      <c r="I2723" s="10"/>
      <c r="J2723" s="10"/>
      <c r="K2723" s="10"/>
      <c r="L2723" s="10"/>
      <c r="M2723" s="10"/>
      <c r="N2723" s="10"/>
      <c r="O2723" s="3"/>
      <c r="P2723" s="10"/>
    </row>
    <row r="2724" spans="1:16" x14ac:dyDescent="0.15">
      <c r="A2724" s="10"/>
      <c r="B2724" s="3"/>
      <c r="C2724" s="10"/>
      <c r="D2724" s="10"/>
      <c r="E2724" s="10"/>
      <c r="F2724" s="10"/>
      <c r="G2724" s="10"/>
      <c r="H2724" s="10"/>
      <c r="I2724" s="10"/>
      <c r="J2724" s="10"/>
      <c r="K2724" s="10"/>
      <c r="L2724" s="10"/>
      <c r="M2724" s="10"/>
      <c r="N2724" s="10"/>
      <c r="O2724" s="3"/>
      <c r="P2724" s="10"/>
    </row>
    <row r="2725" spans="1:16" x14ac:dyDescent="0.15">
      <c r="A2725" s="10"/>
      <c r="B2725" s="3"/>
      <c r="C2725" s="10"/>
      <c r="D2725" s="10"/>
      <c r="E2725" s="10"/>
      <c r="F2725" s="10"/>
      <c r="G2725" s="10"/>
      <c r="H2725" s="10"/>
      <c r="I2725" s="10"/>
      <c r="J2725" s="10"/>
      <c r="K2725" s="10"/>
      <c r="L2725" s="10"/>
      <c r="M2725" s="10"/>
      <c r="N2725" s="10"/>
      <c r="O2725" s="3"/>
      <c r="P2725" s="10"/>
    </row>
    <row r="2726" spans="1:16" x14ac:dyDescent="0.15">
      <c r="A2726" s="10"/>
      <c r="B2726" s="3"/>
      <c r="C2726" s="10"/>
      <c r="D2726" s="10"/>
      <c r="E2726" s="10"/>
      <c r="F2726" s="10"/>
      <c r="G2726" s="10"/>
      <c r="H2726" s="10"/>
      <c r="I2726" s="10"/>
      <c r="J2726" s="10"/>
      <c r="K2726" s="10"/>
      <c r="L2726" s="10"/>
      <c r="M2726" s="10"/>
      <c r="N2726" s="10"/>
      <c r="O2726" s="3"/>
      <c r="P2726" s="10"/>
    </row>
    <row r="2727" spans="1:16" x14ac:dyDescent="0.15">
      <c r="A2727" s="10"/>
      <c r="B2727" s="3"/>
      <c r="C2727" s="10"/>
      <c r="D2727" s="10"/>
      <c r="E2727" s="10"/>
      <c r="F2727" s="10"/>
      <c r="G2727" s="10"/>
      <c r="H2727" s="10"/>
      <c r="I2727" s="10"/>
      <c r="J2727" s="10"/>
      <c r="K2727" s="10"/>
      <c r="L2727" s="10"/>
      <c r="M2727" s="10"/>
      <c r="N2727" s="10"/>
      <c r="O2727" s="3"/>
      <c r="P2727" s="10"/>
    </row>
    <row r="2728" spans="1:16" x14ac:dyDescent="0.15">
      <c r="A2728" s="10"/>
      <c r="B2728" s="3"/>
      <c r="C2728" s="10"/>
      <c r="D2728" s="10"/>
      <c r="E2728" s="10"/>
      <c r="F2728" s="10"/>
      <c r="G2728" s="10"/>
      <c r="H2728" s="10"/>
      <c r="I2728" s="10"/>
      <c r="J2728" s="10"/>
      <c r="K2728" s="10"/>
      <c r="L2728" s="10"/>
      <c r="M2728" s="10"/>
      <c r="N2728" s="10"/>
      <c r="O2728" s="3"/>
      <c r="P2728" s="10"/>
    </row>
    <row r="2729" spans="1:16" x14ac:dyDescent="0.15">
      <c r="A2729" s="10"/>
      <c r="B2729" s="3"/>
      <c r="C2729" s="10"/>
      <c r="D2729" s="10"/>
      <c r="E2729" s="10"/>
      <c r="F2729" s="10"/>
      <c r="G2729" s="10"/>
      <c r="H2729" s="10"/>
      <c r="I2729" s="10"/>
      <c r="J2729" s="10"/>
      <c r="K2729" s="10"/>
      <c r="L2729" s="10"/>
      <c r="M2729" s="10"/>
      <c r="N2729" s="10"/>
      <c r="O2729" s="3"/>
      <c r="P2729" s="10"/>
    </row>
    <row r="2730" spans="1:16" x14ac:dyDescent="0.15">
      <c r="A2730" s="10"/>
      <c r="B2730" s="3"/>
      <c r="C2730" s="10"/>
      <c r="D2730" s="10"/>
      <c r="E2730" s="10"/>
      <c r="F2730" s="10"/>
      <c r="G2730" s="10"/>
      <c r="H2730" s="10"/>
      <c r="I2730" s="10"/>
      <c r="J2730" s="10"/>
      <c r="K2730" s="10"/>
      <c r="L2730" s="10"/>
      <c r="M2730" s="10"/>
      <c r="N2730" s="10"/>
      <c r="O2730" s="3"/>
      <c r="P2730" s="10"/>
    </row>
    <row r="2731" spans="1:16" x14ac:dyDescent="0.15">
      <c r="A2731" s="10"/>
      <c r="B2731" s="3"/>
      <c r="C2731" s="10"/>
      <c r="D2731" s="10"/>
      <c r="E2731" s="10"/>
      <c r="F2731" s="10"/>
      <c r="G2731" s="10"/>
      <c r="H2731" s="10"/>
      <c r="I2731" s="10"/>
      <c r="J2731" s="10"/>
      <c r="K2731" s="10"/>
      <c r="L2731" s="10"/>
      <c r="M2731" s="10"/>
      <c r="N2731" s="10"/>
      <c r="O2731" s="3"/>
      <c r="P2731" s="10"/>
    </row>
    <row r="2732" spans="1:16" x14ac:dyDescent="0.15">
      <c r="A2732" s="10"/>
      <c r="B2732" s="3"/>
      <c r="C2732" s="10"/>
      <c r="D2732" s="10"/>
      <c r="E2732" s="10"/>
      <c r="F2732" s="10"/>
      <c r="G2732" s="10"/>
      <c r="H2732" s="10"/>
      <c r="I2732" s="10"/>
      <c r="J2732" s="10"/>
      <c r="K2732" s="10"/>
      <c r="L2732" s="10"/>
      <c r="M2732" s="10"/>
      <c r="N2732" s="10"/>
      <c r="O2732" s="3"/>
      <c r="P2732" s="10"/>
    </row>
    <row r="2733" spans="1:16" x14ac:dyDescent="0.15">
      <c r="A2733" s="10"/>
      <c r="B2733" s="3"/>
      <c r="C2733" s="10"/>
      <c r="D2733" s="10"/>
      <c r="E2733" s="10"/>
      <c r="F2733" s="10"/>
      <c r="G2733" s="10"/>
      <c r="H2733" s="10"/>
      <c r="I2733" s="10"/>
      <c r="J2733" s="10"/>
      <c r="K2733" s="10"/>
      <c r="L2733" s="10"/>
      <c r="M2733" s="10"/>
      <c r="N2733" s="10"/>
      <c r="O2733" s="3"/>
      <c r="P2733" s="10"/>
    </row>
    <row r="2734" spans="1:16" x14ac:dyDescent="0.15">
      <c r="A2734" s="10"/>
      <c r="B2734" s="3"/>
      <c r="C2734" s="10"/>
      <c r="D2734" s="10"/>
      <c r="E2734" s="10"/>
      <c r="F2734" s="10"/>
      <c r="G2734" s="10"/>
      <c r="H2734" s="10"/>
      <c r="I2734" s="10"/>
      <c r="J2734" s="10"/>
      <c r="K2734" s="10"/>
      <c r="L2734" s="10"/>
      <c r="M2734" s="10"/>
      <c r="N2734" s="10"/>
      <c r="O2734" s="3"/>
      <c r="P2734" s="10"/>
    </row>
    <row r="2735" spans="1:16" x14ac:dyDescent="0.15">
      <c r="A2735" s="10"/>
      <c r="B2735" s="3"/>
      <c r="C2735" s="10"/>
      <c r="D2735" s="10"/>
      <c r="E2735" s="10"/>
      <c r="F2735" s="10"/>
      <c r="G2735" s="10"/>
      <c r="H2735" s="10"/>
      <c r="I2735" s="10"/>
      <c r="J2735" s="10"/>
      <c r="K2735" s="10"/>
      <c r="L2735" s="10"/>
      <c r="M2735" s="10"/>
      <c r="N2735" s="10"/>
      <c r="O2735" s="3"/>
      <c r="P2735" s="10"/>
    </row>
    <row r="2736" spans="1:16" x14ac:dyDescent="0.15">
      <c r="A2736" s="10"/>
      <c r="B2736" s="3"/>
      <c r="C2736" s="10"/>
      <c r="D2736" s="10"/>
      <c r="E2736" s="10"/>
      <c r="F2736" s="10"/>
      <c r="G2736" s="10"/>
      <c r="H2736" s="10"/>
      <c r="I2736" s="10"/>
      <c r="J2736" s="10"/>
      <c r="K2736" s="10"/>
      <c r="L2736" s="10"/>
      <c r="M2736" s="10"/>
      <c r="N2736" s="10"/>
      <c r="O2736" s="3"/>
      <c r="P2736" s="10"/>
    </row>
    <row r="2737" spans="1:16" x14ac:dyDescent="0.15">
      <c r="A2737" s="10"/>
      <c r="B2737" s="3"/>
      <c r="C2737" s="10"/>
      <c r="D2737" s="10"/>
      <c r="E2737" s="10"/>
      <c r="F2737" s="10"/>
      <c r="G2737" s="10"/>
      <c r="H2737" s="10"/>
      <c r="I2737" s="10"/>
      <c r="J2737" s="10"/>
      <c r="K2737" s="10"/>
      <c r="L2737" s="10"/>
      <c r="M2737" s="10"/>
      <c r="N2737" s="10"/>
      <c r="O2737" s="3"/>
      <c r="P2737" s="10"/>
    </row>
    <row r="2738" spans="1:16" x14ac:dyDescent="0.15">
      <c r="A2738" s="10"/>
      <c r="B2738" s="3"/>
      <c r="C2738" s="10"/>
      <c r="D2738" s="10"/>
      <c r="E2738" s="10"/>
      <c r="F2738" s="10"/>
      <c r="G2738" s="10"/>
      <c r="H2738" s="10"/>
      <c r="I2738" s="10"/>
      <c r="J2738" s="10"/>
      <c r="K2738" s="10"/>
      <c r="L2738" s="10"/>
      <c r="M2738" s="10"/>
      <c r="N2738" s="10"/>
      <c r="O2738" s="3"/>
      <c r="P2738" s="10"/>
    </row>
    <row r="2739" spans="1:16" x14ac:dyDescent="0.15">
      <c r="A2739" s="10"/>
      <c r="B2739" s="3"/>
      <c r="C2739" s="10"/>
      <c r="D2739" s="10"/>
      <c r="E2739" s="10"/>
      <c r="F2739" s="10"/>
      <c r="G2739" s="10"/>
      <c r="H2739" s="10"/>
      <c r="I2739" s="10"/>
      <c r="J2739" s="10"/>
      <c r="K2739" s="10"/>
      <c r="L2739" s="10"/>
      <c r="M2739" s="10"/>
      <c r="N2739" s="10"/>
      <c r="O2739" s="3"/>
      <c r="P2739" s="10"/>
    </row>
    <row r="2740" spans="1:16" x14ac:dyDescent="0.15">
      <c r="A2740" s="10"/>
      <c r="B2740" s="3"/>
      <c r="C2740" s="10"/>
      <c r="D2740" s="10"/>
      <c r="E2740" s="10"/>
      <c r="F2740" s="10"/>
      <c r="G2740" s="10"/>
      <c r="H2740" s="10"/>
      <c r="I2740" s="10"/>
      <c r="J2740" s="10"/>
      <c r="K2740" s="10"/>
      <c r="L2740" s="10"/>
      <c r="M2740" s="10"/>
      <c r="N2740" s="10"/>
      <c r="O2740" s="3"/>
      <c r="P2740" s="10"/>
    </row>
    <row r="2741" spans="1:16" x14ac:dyDescent="0.15">
      <c r="A2741" s="10"/>
      <c r="B2741" s="3"/>
      <c r="C2741" s="10"/>
      <c r="D2741" s="10"/>
      <c r="E2741" s="10"/>
      <c r="F2741" s="10"/>
      <c r="G2741" s="10"/>
      <c r="H2741" s="10"/>
      <c r="I2741" s="10"/>
      <c r="J2741" s="10"/>
      <c r="K2741" s="10"/>
      <c r="L2741" s="10"/>
      <c r="M2741" s="10"/>
      <c r="N2741" s="10"/>
      <c r="O2741" s="3"/>
      <c r="P2741" s="10"/>
    </row>
    <row r="2742" spans="1:16" x14ac:dyDescent="0.15">
      <c r="A2742" s="10"/>
      <c r="B2742" s="3"/>
      <c r="C2742" s="10"/>
      <c r="D2742" s="10"/>
      <c r="E2742" s="10"/>
      <c r="F2742" s="10"/>
      <c r="G2742" s="10"/>
      <c r="H2742" s="10"/>
      <c r="I2742" s="10"/>
      <c r="J2742" s="10"/>
      <c r="K2742" s="10"/>
      <c r="L2742" s="10"/>
      <c r="M2742" s="10"/>
      <c r="N2742" s="10"/>
      <c r="O2742" s="3"/>
      <c r="P2742" s="10"/>
    </row>
    <row r="2743" spans="1:16" x14ac:dyDescent="0.15">
      <c r="A2743" s="10"/>
      <c r="B2743" s="3"/>
      <c r="C2743" s="10"/>
      <c r="D2743" s="10"/>
      <c r="E2743" s="10"/>
      <c r="F2743" s="10"/>
      <c r="G2743" s="10"/>
      <c r="H2743" s="10"/>
      <c r="I2743" s="10"/>
      <c r="J2743" s="10"/>
      <c r="K2743" s="10"/>
      <c r="L2743" s="10"/>
      <c r="M2743" s="10"/>
      <c r="N2743" s="10"/>
      <c r="O2743" s="3"/>
      <c r="P2743" s="10"/>
    </row>
    <row r="2744" spans="1:16" x14ac:dyDescent="0.15">
      <c r="A2744" s="10"/>
      <c r="B2744" s="3"/>
      <c r="C2744" s="10"/>
      <c r="D2744" s="10"/>
      <c r="E2744" s="10"/>
      <c r="F2744" s="10"/>
      <c r="G2744" s="10"/>
      <c r="H2744" s="10"/>
      <c r="I2744" s="10"/>
      <c r="J2744" s="10"/>
      <c r="K2744" s="10"/>
      <c r="L2744" s="10"/>
      <c r="M2744" s="10"/>
      <c r="N2744" s="10"/>
      <c r="O2744" s="3"/>
      <c r="P2744" s="10"/>
    </row>
    <row r="2745" spans="1:16" x14ac:dyDescent="0.15">
      <c r="A2745" s="10"/>
      <c r="B2745" s="3"/>
      <c r="C2745" s="10"/>
      <c r="D2745" s="10"/>
      <c r="E2745" s="10"/>
      <c r="F2745" s="10"/>
      <c r="G2745" s="10"/>
      <c r="H2745" s="10"/>
      <c r="I2745" s="10"/>
      <c r="J2745" s="10"/>
      <c r="K2745" s="10"/>
      <c r="L2745" s="10"/>
      <c r="M2745" s="10"/>
      <c r="N2745" s="10"/>
      <c r="O2745" s="3"/>
      <c r="P2745" s="10"/>
    </row>
    <row r="2746" spans="1:16" x14ac:dyDescent="0.15">
      <c r="A2746" s="10"/>
      <c r="B2746" s="3"/>
      <c r="C2746" s="10"/>
      <c r="D2746" s="10"/>
      <c r="E2746" s="10"/>
      <c r="F2746" s="10"/>
      <c r="G2746" s="10"/>
      <c r="H2746" s="10"/>
      <c r="I2746" s="10"/>
      <c r="J2746" s="10"/>
      <c r="K2746" s="10"/>
      <c r="L2746" s="10"/>
      <c r="M2746" s="10"/>
      <c r="N2746" s="10"/>
      <c r="O2746" s="3"/>
      <c r="P2746" s="10"/>
    </row>
    <row r="2747" spans="1:16" x14ac:dyDescent="0.15">
      <c r="A2747" s="10"/>
      <c r="B2747" s="3"/>
      <c r="C2747" s="10"/>
      <c r="D2747" s="10"/>
      <c r="E2747" s="10"/>
      <c r="F2747" s="10"/>
      <c r="G2747" s="10"/>
      <c r="H2747" s="10"/>
      <c r="I2747" s="10"/>
      <c r="J2747" s="10"/>
      <c r="K2747" s="10"/>
      <c r="L2747" s="10"/>
      <c r="M2747" s="10"/>
      <c r="N2747" s="10"/>
      <c r="O2747" s="3"/>
      <c r="P2747" s="10"/>
    </row>
    <row r="2748" spans="1:16" x14ac:dyDescent="0.15">
      <c r="A2748" s="10"/>
      <c r="B2748" s="3"/>
      <c r="C2748" s="10"/>
      <c r="D2748" s="10"/>
      <c r="E2748" s="10"/>
      <c r="F2748" s="10"/>
      <c r="G2748" s="10"/>
      <c r="H2748" s="10"/>
      <c r="I2748" s="10"/>
      <c r="J2748" s="10"/>
      <c r="K2748" s="10"/>
      <c r="L2748" s="10"/>
      <c r="M2748" s="10"/>
      <c r="N2748" s="10"/>
      <c r="O2748" s="3"/>
      <c r="P2748" s="10"/>
    </row>
    <row r="2749" spans="1:16" x14ac:dyDescent="0.15">
      <c r="A2749" s="10"/>
      <c r="B2749" s="3"/>
      <c r="C2749" s="10"/>
      <c r="D2749" s="10"/>
      <c r="E2749" s="10"/>
      <c r="F2749" s="10"/>
      <c r="G2749" s="10"/>
      <c r="H2749" s="10"/>
      <c r="I2749" s="10"/>
      <c r="J2749" s="10"/>
      <c r="K2749" s="10"/>
      <c r="L2749" s="10"/>
      <c r="M2749" s="10"/>
      <c r="N2749" s="10"/>
      <c r="O2749" s="3"/>
      <c r="P2749" s="10"/>
    </row>
    <row r="2750" spans="1:16" x14ac:dyDescent="0.15">
      <c r="A2750" s="10"/>
      <c r="B2750" s="3"/>
      <c r="C2750" s="10"/>
      <c r="D2750" s="10"/>
      <c r="E2750" s="10"/>
      <c r="F2750" s="10"/>
      <c r="G2750" s="10"/>
      <c r="H2750" s="10"/>
      <c r="I2750" s="10"/>
      <c r="J2750" s="10"/>
      <c r="K2750" s="10"/>
      <c r="L2750" s="10"/>
      <c r="M2750" s="10"/>
      <c r="N2750" s="10"/>
      <c r="O2750" s="3"/>
      <c r="P2750" s="10"/>
    </row>
    <row r="2751" spans="1:16" x14ac:dyDescent="0.15">
      <c r="A2751" s="10"/>
      <c r="B2751" s="3"/>
      <c r="C2751" s="10"/>
      <c r="D2751" s="10"/>
      <c r="E2751" s="10"/>
      <c r="F2751" s="10"/>
      <c r="G2751" s="10"/>
      <c r="H2751" s="10"/>
      <c r="I2751" s="10"/>
      <c r="J2751" s="10"/>
      <c r="K2751" s="10"/>
      <c r="L2751" s="10"/>
      <c r="M2751" s="10"/>
      <c r="N2751" s="10"/>
      <c r="O2751" s="3"/>
      <c r="P2751" s="10"/>
    </row>
    <row r="2752" spans="1:16" x14ac:dyDescent="0.15">
      <c r="A2752" s="10"/>
      <c r="B2752" s="3"/>
      <c r="C2752" s="10"/>
      <c r="D2752" s="10"/>
      <c r="E2752" s="10"/>
      <c r="F2752" s="10"/>
      <c r="G2752" s="10"/>
      <c r="H2752" s="10"/>
      <c r="I2752" s="10"/>
      <c r="J2752" s="10"/>
      <c r="K2752" s="10"/>
      <c r="L2752" s="10"/>
      <c r="M2752" s="10"/>
      <c r="N2752" s="10"/>
      <c r="O2752" s="3"/>
      <c r="P2752" s="10"/>
    </row>
    <row r="2753" spans="1:16" x14ac:dyDescent="0.15">
      <c r="A2753" s="10"/>
      <c r="B2753" s="3"/>
      <c r="C2753" s="10"/>
      <c r="D2753" s="10"/>
      <c r="E2753" s="10"/>
      <c r="F2753" s="10"/>
      <c r="G2753" s="10"/>
      <c r="H2753" s="10"/>
      <c r="I2753" s="10"/>
      <c r="J2753" s="10"/>
      <c r="K2753" s="10"/>
      <c r="L2753" s="10"/>
      <c r="M2753" s="10"/>
      <c r="N2753" s="10"/>
      <c r="O2753" s="3"/>
      <c r="P2753" s="10"/>
    </row>
    <row r="2754" spans="1:16" x14ac:dyDescent="0.15">
      <c r="A2754" s="10"/>
      <c r="B2754" s="3"/>
      <c r="C2754" s="10"/>
      <c r="D2754" s="10"/>
      <c r="E2754" s="10"/>
      <c r="F2754" s="10"/>
      <c r="G2754" s="10"/>
      <c r="H2754" s="10"/>
      <c r="I2754" s="10"/>
      <c r="J2754" s="10"/>
      <c r="K2754" s="10"/>
      <c r="L2754" s="10"/>
      <c r="M2754" s="10"/>
      <c r="N2754" s="10"/>
      <c r="O2754" s="3"/>
      <c r="P2754" s="10"/>
    </row>
    <row r="2755" spans="1:16" x14ac:dyDescent="0.15">
      <c r="A2755" s="10"/>
      <c r="B2755" s="3"/>
      <c r="C2755" s="10"/>
      <c r="D2755" s="10"/>
      <c r="E2755" s="10"/>
      <c r="F2755" s="10"/>
      <c r="G2755" s="10"/>
      <c r="H2755" s="10"/>
      <c r="I2755" s="10"/>
      <c r="J2755" s="10"/>
      <c r="K2755" s="10"/>
      <c r="L2755" s="10"/>
      <c r="M2755" s="10"/>
      <c r="N2755" s="10"/>
      <c r="O2755" s="3"/>
      <c r="P2755" s="10"/>
    </row>
    <row r="2756" spans="1:16" x14ac:dyDescent="0.15">
      <c r="A2756" s="10"/>
      <c r="B2756" s="3"/>
      <c r="C2756" s="10"/>
      <c r="D2756" s="10"/>
      <c r="E2756" s="10"/>
      <c r="F2756" s="10"/>
      <c r="G2756" s="10"/>
      <c r="H2756" s="10"/>
      <c r="I2756" s="10"/>
      <c r="J2756" s="10"/>
      <c r="K2756" s="10"/>
      <c r="L2756" s="10"/>
      <c r="M2756" s="10"/>
      <c r="N2756" s="10"/>
      <c r="O2756" s="3"/>
      <c r="P2756" s="10"/>
    </row>
    <row r="2757" spans="1:16" x14ac:dyDescent="0.15">
      <c r="A2757" s="10"/>
      <c r="B2757" s="3"/>
      <c r="C2757" s="10"/>
      <c r="D2757" s="10"/>
      <c r="E2757" s="10"/>
      <c r="F2757" s="10"/>
      <c r="G2757" s="10"/>
      <c r="H2757" s="10"/>
      <c r="I2757" s="10"/>
      <c r="J2757" s="10"/>
      <c r="K2757" s="10"/>
      <c r="L2757" s="10"/>
      <c r="M2757" s="10"/>
      <c r="N2757" s="10"/>
      <c r="O2757" s="3"/>
      <c r="P2757" s="10"/>
    </row>
    <row r="2758" spans="1:16" x14ac:dyDescent="0.15">
      <c r="A2758" s="10"/>
      <c r="B2758" s="3"/>
      <c r="C2758" s="10"/>
      <c r="D2758" s="10"/>
      <c r="E2758" s="10"/>
      <c r="F2758" s="10"/>
      <c r="G2758" s="10"/>
      <c r="H2758" s="10"/>
      <c r="I2758" s="10"/>
      <c r="J2758" s="10"/>
      <c r="K2758" s="10"/>
      <c r="L2758" s="10"/>
      <c r="M2758" s="10"/>
      <c r="N2758" s="10"/>
      <c r="O2758" s="3"/>
      <c r="P2758" s="10"/>
    </row>
    <row r="2759" spans="1:16" x14ac:dyDescent="0.15">
      <c r="A2759" s="10"/>
      <c r="B2759" s="3"/>
      <c r="C2759" s="10"/>
      <c r="D2759" s="10"/>
      <c r="E2759" s="10"/>
      <c r="F2759" s="10"/>
      <c r="G2759" s="10"/>
      <c r="H2759" s="10"/>
      <c r="I2759" s="10"/>
      <c r="J2759" s="10"/>
      <c r="K2759" s="10"/>
      <c r="L2759" s="10"/>
      <c r="M2759" s="10"/>
      <c r="N2759" s="10"/>
      <c r="O2759" s="3"/>
      <c r="P2759" s="10"/>
    </row>
    <row r="2760" spans="1:16" x14ac:dyDescent="0.15">
      <c r="A2760" s="10"/>
      <c r="B2760" s="3"/>
      <c r="C2760" s="10"/>
      <c r="D2760" s="10"/>
      <c r="E2760" s="10"/>
      <c r="F2760" s="10"/>
      <c r="G2760" s="10"/>
      <c r="H2760" s="10"/>
      <c r="I2760" s="10"/>
      <c r="J2760" s="10"/>
      <c r="K2760" s="10"/>
      <c r="L2760" s="10"/>
      <c r="M2760" s="10"/>
      <c r="N2760" s="10"/>
      <c r="O2760" s="3"/>
      <c r="P2760" s="10"/>
    </row>
    <row r="2761" spans="1:16" x14ac:dyDescent="0.15">
      <c r="A2761" s="10"/>
      <c r="B2761" s="3"/>
      <c r="C2761" s="10"/>
      <c r="D2761" s="10"/>
      <c r="E2761" s="10"/>
      <c r="F2761" s="10"/>
      <c r="G2761" s="10"/>
      <c r="H2761" s="10"/>
      <c r="I2761" s="10"/>
      <c r="J2761" s="10"/>
      <c r="K2761" s="10"/>
      <c r="L2761" s="10"/>
      <c r="M2761" s="10"/>
      <c r="N2761" s="10"/>
      <c r="O2761" s="3"/>
      <c r="P2761" s="10"/>
    </row>
    <row r="2762" spans="1:16" x14ac:dyDescent="0.15">
      <c r="A2762" s="10"/>
      <c r="B2762" s="3"/>
      <c r="C2762" s="10"/>
      <c r="D2762" s="10"/>
      <c r="E2762" s="10"/>
      <c r="F2762" s="10"/>
      <c r="G2762" s="10"/>
      <c r="H2762" s="10"/>
      <c r="I2762" s="10"/>
      <c r="J2762" s="10"/>
      <c r="K2762" s="10"/>
      <c r="L2762" s="10"/>
      <c r="M2762" s="10"/>
      <c r="N2762" s="10"/>
      <c r="O2762" s="3"/>
      <c r="P2762" s="10"/>
    </row>
    <row r="2763" spans="1:16" x14ac:dyDescent="0.15">
      <c r="A2763" s="10"/>
      <c r="B2763" s="3"/>
      <c r="C2763" s="10"/>
      <c r="D2763" s="10"/>
      <c r="E2763" s="10"/>
      <c r="F2763" s="10"/>
      <c r="G2763" s="10"/>
      <c r="H2763" s="10"/>
      <c r="I2763" s="10"/>
      <c r="J2763" s="10"/>
      <c r="K2763" s="10"/>
      <c r="L2763" s="10"/>
      <c r="M2763" s="10"/>
      <c r="N2763" s="10"/>
      <c r="O2763" s="3"/>
      <c r="P2763" s="10"/>
    </row>
    <row r="2764" spans="1:16" x14ac:dyDescent="0.15">
      <c r="A2764" s="10"/>
      <c r="B2764" s="3"/>
      <c r="C2764" s="10"/>
      <c r="D2764" s="10"/>
      <c r="E2764" s="10"/>
      <c r="F2764" s="10"/>
      <c r="G2764" s="10"/>
      <c r="H2764" s="10"/>
      <c r="I2764" s="10"/>
      <c r="J2764" s="10"/>
      <c r="K2764" s="10"/>
      <c r="L2764" s="10"/>
      <c r="M2764" s="10"/>
      <c r="N2764" s="10"/>
      <c r="O2764" s="3"/>
      <c r="P2764" s="10"/>
    </row>
    <row r="2765" spans="1:16" x14ac:dyDescent="0.15">
      <c r="A2765" s="10"/>
      <c r="B2765" s="3"/>
      <c r="C2765" s="10"/>
      <c r="D2765" s="10"/>
      <c r="E2765" s="10"/>
      <c r="F2765" s="10"/>
      <c r="G2765" s="10"/>
      <c r="H2765" s="10"/>
      <c r="I2765" s="10"/>
      <c r="J2765" s="10"/>
      <c r="K2765" s="10"/>
      <c r="L2765" s="10"/>
      <c r="M2765" s="10"/>
      <c r="N2765" s="10"/>
      <c r="O2765" s="3"/>
      <c r="P2765" s="10"/>
    </row>
    <row r="2766" spans="1:16" x14ac:dyDescent="0.15">
      <c r="A2766" s="10"/>
      <c r="B2766" s="3"/>
      <c r="C2766" s="10"/>
      <c r="D2766" s="10"/>
      <c r="E2766" s="10"/>
      <c r="F2766" s="10"/>
      <c r="G2766" s="10"/>
      <c r="H2766" s="10"/>
      <c r="I2766" s="10"/>
      <c r="J2766" s="10"/>
      <c r="K2766" s="10"/>
      <c r="L2766" s="10"/>
      <c r="M2766" s="10"/>
      <c r="N2766" s="10"/>
      <c r="O2766" s="3"/>
      <c r="P2766" s="10"/>
    </row>
    <row r="2767" spans="1:16" x14ac:dyDescent="0.15">
      <c r="A2767" s="10"/>
      <c r="B2767" s="3"/>
      <c r="C2767" s="10"/>
      <c r="D2767" s="10"/>
      <c r="E2767" s="10"/>
      <c r="F2767" s="10"/>
      <c r="G2767" s="10"/>
      <c r="H2767" s="10"/>
      <c r="I2767" s="10"/>
      <c r="J2767" s="10"/>
      <c r="K2767" s="10"/>
      <c r="L2767" s="10"/>
      <c r="M2767" s="10"/>
      <c r="N2767" s="10"/>
      <c r="O2767" s="3"/>
      <c r="P2767" s="10"/>
    </row>
    <row r="2768" spans="1:16" x14ac:dyDescent="0.15">
      <c r="A2768" s="10"/>
      <c r="B2768" s="3"/>
      <c r="C2768" s="10"/>
      <c r="D2768" s="10"/>
      <c r="E2768" s="10"/>
      <c r="F2768" s="10"/>
      <c r="G2768" s="10"/>
      <c r="H2768" s="10"/>
      <c r="I2768" s="10"/>
      <c r="J2768" s="10"/>
      <c r="K2768" s="10"/>
      <c r="L2768" s="10"/>
      <c r="M2768" s="10"/>
      <c r="N2768" s="10"/>
      <c r="O2768" s="3"/>
      <c r="P2768" s="10"/>
    </row>
    <row r="2769" spans="1:16" x14ac:dyDescent="0.15">
      <c r="A2769" s="10"/>
      <c r="B2769" s="3"/>
      <c r="C2769" s="10"/>
      <c r="D2769" s="10"/>
      <c r="E2769" s="10"/>
      <c r="F2769" s="10"/>
      <c r="G2769" s="10"/>
      <c r="H2769" s="10"/>
      <c r="I2769" s="10"/>
      <c r="J2769" s="10"/>
      <c r="K2769" s="10"/>
      <c r="L2769" s="10"/>
      <c r="M2769" s="10"/>
      <c r="N2769" s="10"/>
      <c r="O2769" s="3"/>
      <c r="P2769" s="10"/>
    </row>
    <row r="2770" spans="1:16" x14ac:dyDescent="0.15">
      <c r="A2770" s="10"/>
      <c r="B2770" s="3"/>
      <c r="C2770" s="10"/>
      <c r="D2770" s="10"/>
      <c r="E2770" s="10"/>
      <c r="F2770" s="10"/>
      <c r="G2770" s="10"/>
      <c r="H2770" s="10"/>
      <c r="I2770" s="10"/>
      <c r="J2770" s="10"/>
      <c r="K2770" s="10"/>
      <c r="L2770" s="10"/>
      <c r="M2770" s="10"/>
      <c r="N2770" s="10"/>
      <c r="O2770" s="3"/>
      <c r="P2770" s="10"/>
    </row>
    <row r="2771" spans="1:16" x14ac:dyDescent="0.15">
      <c r="A2771" s="10"/>
      <c r="B2771" s="3"/>
      <c r="C2771" s="10"/>
      <c r="D2771" s="10"/>
      <c r="E2771" s="10"/>
      <c r="F2771" s="10"/>
      <c r="G2771" s="10"/>
      <c r="H2771" s="10"/>
      <c r="I2771" s="10"/>
      <c r="J2771" s="10"/>
      <c r="K2771" s="10"/>
      <c r="L2771" s="10"/>
      <c r="M2771" s="10"/>
      <c r="N2771" s="10"/>
      <c r="O2771" s="3"/>
      <c r="P2771" s="10"/>
    </row>
    <row r="2772" spans="1:16" x14ac:dyDescent="0.15">
      <c r="A2772" s="10"/>
      <c r="B2772" s="3"/>
      <c r="C2772" s="10"/>
      <c r="D2772" s="10"/>
      <c r="E2772" s="10"/>
      <c r="F2772" s="10"/>
      <c r="G2772" s="10"/>
      <c r="H2772" s="10"/>
      <c r="I2772" s="10"/>
      <c r="J2772" s="10"/>
      <c r="K2772" s="10"/>
      <c r="L2772" s="10"/>
      <c r="M2772" s="10"/>
      <c r="N2772" s="10"/>
      <c r="O2772" s="3"/>
      <c r="P2772" s="10"/>
    </row>
    <row r="2773" spans="1:16" x14ac:dyDescent="0.15">
      <c r="A2773" s="10"/>
      <c r="B2773" s="3"/>
      <c r="C2773" s="10"/>
      <c r="D2773" s="10"/>
      <c r="E2773" s="10"/>
      <c r="F2773" s="10"/>
      <c r="G2773" s="10"/>
      <c r="H2773" s="10"/>
      <c r="I2773" s="10"/>
      <c r="J2773" s="10"/>
      <c r="K2773" s="10"/>
      <c r="L2773" s="10"/>
      <c r="M2773" s="10"/>
      <c r="N2773" s="10"/>
      <c r="O2773" s="3"/>
      <c r="P2773" s="10"/>
    </row>
    <row r="2774" spans="1:16" x14ac:dyDescent="0.15">
      <c r="A2774" s="10"/>
      <c r="B2774" s="3"/>
      <c r="C2774" s="10"/>
      <c r="D2774" s="10"/>
      <c r="E2774" s="10"/>
      <c r="F2774" s="10"/>
      <c r="G2774" s="10"/>
      <c r="H2774" s="10"/>
      <c r="I2774" s="10"/>
      <c r="J2774" s="10"/>
      <c r="K2774" s="10"/>
      <c r="L2774" s="10"/>
      <c r="M2774" s="10"/>
      <c r="N2774" s="10"/>
      <c r="O2774" s="3"/>
      <c r="P2774" s="10"/>
    </row>
    <row r="2775" spans="1:16" x14ac:dyDescent="0.15">
      <c r="A2775" s="10"/>
      <c r="B2775" s="3"/>
      <c r="C2775" s="10"/>
      <c r="D2775" s="10"/>
      <c r="E2775" s="10"/>
      <c r="F2775" s="10"/>
      <c r="G2775" s="10"/>
      <c r="H2775" s="10"/>
      <c r="I2775" s="10"/>
      <c r="J2775" s="10"/>
      <c r="K2775" s="10"/>
      <c r="L2775" s="10"/>
      <c r="M2775" s="10"/>
      <c r="N2775" s="10"/>
      <c r="O2775" s="3"/>
      <c r="P2775" s="10"/>
    </row>
    <row r="2776" spans="1:16" x14ac:dyDescent="0.15">
      <c r="A2776" s="10"/>
      <c r="B2776" s="3"/>
      <c r="C2776" s="10"/>
      <c r="D2776" s="10"/>
      <c r="E2776" s="10"/>
      <c r="F2776" s="10"/>
      <c r="G2776" s="10"/>
      <c r="H2776" s="10"/>
      <c r="I2776" s="10"/>
      <c r="J2776" s="10"/>
      <c r="K2776" s="10"/>
      <c r="L2776" s="10"/>
      <c r="M2776" s="10"/>
      <c r="N2776" s="10"/>
      <c r="O2776" s="3"/>
      <c r="P2776" s="10"/>
    </row>
    <row r="2777" spans="1:16" x14ac:dyDescent="0.15">
      <c r="A2777" s="10"/>
      <c r="B2777" s="3"/>
      <c r="C2777" s="10"/>
      <c r="D2777" s="10"/>
      <c r="E2777" s="10"/>
      <c r="F2777" s="10"/>
      <c r="G2777" s="10"/>
      <c r="H2777" s="10"/>
      <c r="I2777" s="10"/>
      <c r="J2777" s="10"/>
      <c r="K2777" s="10"/>
      <c r="L2777" s="10"/>
      <c r="M2777" s="10"/>
      <c r="N2777" s="10"/>
      <c r="O2777" s="3"/>
      <c r="P2777" s="10"/>
    </row>
    <row r="2778" spans="1:16" x14ac:dyDescent="0.15">
      <c r="A2778" s="10"/>
      <c r="B2778" s="3"/>
      <c r="C2778" s="10"/>
      <c r="D2778" s="10"/>
      <c r="E2778" s="10"/>
      <c r="F2778" s="10"/>
      <c r="G2778" s="10"/>
      <c r="H2778" s="10"/>
      <c r="I2778" s="10"/>
      <c r="J2778" s="10"/>
      <c r="K2778" s="10"/>
      <c r="L2778" s="10"/>
      <c r="M2778" s="10"/>
      <c r="N2778" s="10"/>
      <c r="O2778" s="3"/>
      <c r="P2778" s="10"/>
    </row>
    <row r="2779" spans="1:16" x14ac:dyDescent="0.15">
      <c r="A2779" s="10"/>
      <c r="B2779" s="3"/>
      <c r="C2779" s="10"/>
      <c r="D2779" s="10"/>
      <c r="E2779" s="10"/>
      <c r="F2779" s="10"/>
      <c r="G2779" s="10"/>
      <c r="H2779" s="10"/>
      <c r="I2779" s="10"/>
      <c r="J2779" s="10"/>
      <c r="K2779" s="10"/>
      <c r="L2779" s="10"/>
      <c r="M2779" s="10"/>
      <c r="N2779" s="10"/>
      <c r="O2779" s="3"/>
      <c r="P2779" s="10"/>
    </row>
    <row r="2780" spans="1:16" x14ac:dyDescent="0.15">
      <c r="A2780" s="10"/>
      <c r="B2780" s="3"/>
      <c r="C2780" s="10"/>
      <c r="D2780" s="10"/>
      <c r="E2780" s="10"/>
      <c r="F2780" s="10"/>
      <c r="G2780" s="10"/>
      <c r="H2780" s="10"/>
      <c r="I2780" s="10"/>
      <c r="J2780" s="10"/>
      <c r="K2780" s="10"/>
      <c r="L2780" s="10"/>
      <c r="M2780" s="10"/>
      <c r="N2780" s="10"/>
      <c r="O2780" s="3"/>
      <c r="P2780" s="10"/>
    </row>
    <row r="2781" spans="1:16" x14ac:dyDescent="0.15">
      <c r="A2781" s="10"/>
      <c r="B2781" s="3"/>
      <c r="C2781" s="10"/>
      <c r="D2781" s="10"/>
      <c r="E2781" s="10"/>
      <c r="F2781" s="10"/>
      <c r="G2781" s="10"/>
      <c r="H2781" s="10"/>
      <c r="I2781" s="10"/>
      <c r="J2781" s="10"/>
      <c r="K2781" s="10"/>
      <c r="L2781" s="10"/>
      <c r="M2781" s="10"/>
      <c r="N2781" s="10"/>
      <c r="O2781" s="3"/>
      <c r="P2781" s="10"/>
    </row>
    <row r="2782" spans="1:16" x14ac:dyDescent="0.15">
      <c r="A2782" s="10"/>
      <c r="B2782" s="3"/>
      <c r="C2782" s="10"/>
      <c r="D2782" s="10"/>
      <c r="E2782" s="10"/>
      <c r="F2782" s="10"/>
      <c r="G2782" s="10"/>
      <c r="H2782" s="10"/>
      <c r="I2782" s="10"/>
      <c r="J2782" s="10"/>
      <c r="K2782" s="10"/>
      <c r="L2782" s="10"/>
      <c r="M2782" s="10"/>
      <c r="N2782" s="10"/>
      <c r="O2782" s="3"/>
      <c r="P2782" s="10"/>
    </row>
    <row r="2783" spans="1:16" x14ac:dyDescent="0.15">
      <c r="A2783" s="10"/>
      <c r="B2783" s="3"/>
      <c r="C2783" s="10"/>
      <c r="D2783" s="10"/>
      <c r="E2783" s="10"/>
      <c r="F2783" s="10"/>
      <c r="G2783" s="10"/>
      <c r="H2783" s="10"/>
      <c r="I2783" s="10"/>
      <c r="J2783" s="10"/>
      <c r="K2783" s="10"/>
      <c r="L2783" s="10"/>
      <c r="M2783" s="10"/>
      <c r="N2783" s="10"/>
      <c r="O2783" s="3"/>
      <c r="P2783" s="10"/>
    </row>
    <row r="2784" spans="1:16" x14ac:dyDescent="0.15">
      <c r="A2784" s="10"/>
      <c r="B2784" s="3"/>
      <c r="C2784" s="10"/>
      <c r="D2784" s="10"/>
      <c r="E2784" s="10"/>
      <c r="F2784" s="10"/>
      <c r="G2784" s="10"/>
      <c r="H2784" s="10"/>
      <c r="I2784" s="10"/>
      <c r="J2784" s="10"/>
      <c r="K2784" s="10"/>
      <c r="L2784" s="10"/>
      <c r="M2784" s="10"/>
      <c r="N2784" s="10"/>
      <c r="O2784" s="3"/>
      <c r="P2784" s="10"/>
    </row>
    <row r="2785" spans="1:16" x14ac:dyDescent="0.15">
      <c r="A2785" s="10"/>
      <c r="B2785" s="3"/>
      <c r="C2785" s="10"/>
      <c r="D2785" s="10"/>
      <c r="E2785" s="10"/>
      <c r="F2785" s="10"/>
      <c r="G2785" s="10"/>
      <c r="H2785" s="10"/>
      <c r="I2785" s="10"/>
      <c r="J2785" s="10"/>
      <c r="K2785" s="10"/>
      <c r="L2785" s="10"/>
      <c r="M2785" s="10"/>
      <c r="N2785" s="10"/>
      <c r="O2785" s="3"/>
      <c r="P2785" s="10"/>
    </row>
    <row r="2786" spans="1:16" x14ac:dyDescent="0.15">
      <c r="A2786" s="10"/>
      <c r="B2786" s="3"/>
      <c r="C2786" s="10"/>
      <c r="D2786" s="10"/>
      <c r="E2786" s="10"/>
      <c r="F2786" s="10"/>
      <c r="G2786" s="10"/>
      <c r="H2786" s="10"/>
      <c r="I2786" s="10"/>
      <c r="J2786" s="10"/>
      <c r="K2786" s="10"/>
      <c r="L2786" s="10"/>
      <c r="M2786" s="10"/>
      <c r="N2786" s="10"/>
      <c r="O2786" s="3"/>
      <c r="P2786" s="10"/>
    </row>
    <row r="2787" spans="1:16" x14ac:dyDescent="0.15">
      <c r="A2787" s="10"/>
      <c r="B2787" s="3"/>
      <c r="C2787" s="10"/>
      <c r="D2787" s="10"/>
      <c r="E2787" s="10"/>
      <c r="F2787" s="10"/>
      <c r="G2787" s="10"/>
      <c r="H2787" s="10"/>
      <c r="I2787" s="10"/>
      <c r="J2787" s="10"/>
      <c r="K2787" s="10"/>
      <c r="L2787" s="10"/>
      <c r="M2787" s="10"/>
      <c r="N2787" s="10"/>
      <c r="O2787" s="3"/>
      <c r="P2787" s="10"/>
    </row>
    <row r="2788" spans="1:16" x14ac:dyDescent="0.15">
      <c r="A2788" s="10"/>
      <c r="B2788" s="3"/>
      <c r="C2788" s="10"/>
      <c r="D2788" s="10"/>
      <c r="E2788" s="10"/>
      <c r="F2788" s="10"/>
      <c r="G2788" s="10"/>
      <c r="H2788" s="10"/>
      <c r="I2788" s="10"/>
      <c r="J2788" s="10"/>
      <c r="K2788" s="10"/>
      <c r="L2788" s="10"/>
      <c r="M2788" s="10"/>
      <c r="N2788" s="10"/>
      <c r="O2788" s="3"/>
      <c r="P2788" s="10"/>
    </row>
    <row r="2789" spans="1:16" x14ac:dyDescent="0.15">
      <c r="A2789" s="10"/>
      <c r="B2789" s="3"/>
      <c r="C2789" s="10"/>
      <c r="D2789" s="10"/>
      <c r="E2789" s="10"/>
      <c r="F2789" s="10"/>
      <c r="G2789" s="10"/>
      <c r="H2789" s="10"/>
      <c r="I2789" s="10"/>
      <c r="J2789" s="10"/>
      <c r="K2789" s="10"/>
      <c r="L2789" s="10"/>
      <c r="M2789" s="10"/>
      <c r="N2789" s="10"/>
      <c r="O2789" s="3"/>
      <c r="P2789" s="10"/>
    </row>
    <row r="2790" spans="1:16" x14ac:dyDescent="0.15">
      <c r="A2790" s="10"/>
      <c r="B2790" s="3"/>
      <c r="C2790" s="10"/>
      <c r="D2790" s="10"/>
      <c r="E2790" s="10"/>
      <c r="F2790" s="10"/>
      <c r="G2790" s="10"/>
      <c r="H2790" s="10"/>
      <c r="I2790" s="10"/>
      <c r="J2790" s="10"/>
      <c r="K2790" s="10"/>
      <c r="L2790" s="10"/>
      <c r="M2790" s="10"/>
      <c r="N2790" s="10"/>
      <c r="O2790" s="3"/>
      <c r="P2790" s="10"/>
    </row>
    <row r="2791" spans="1:16" x14ac:dyDescent="0.15">
      <c r="A2791" s="10"/>
      <c r="B2791" s="3"/>
      <c r="C2791" s="10"/>
      <c r="D2791" s="10"/>
      <c r="E2791" s="10"/>
      <c r="F2791" s="10"/>
      <c r="G2791" s="10"/>
      <c r="H2791" s="10"/>
      <c r="I2791" s="10"/>
      <c r="J2791" s="10"/>
      <c r="K2791" s="10"/>
      <c r="L2791" s="10"/>
      <c r="M2791" s="10"/>
      <c r="N2791" s="10"/>
      <c r="O2791" s="3"/>
      <c r="P2791" s="10"/>
    </row>
    <row r="2792" spans="1:16" x14ac:dyDescent="0.15">
      <c r="A2792" s="10"/>
      <c r="B2792" s="3"/>
      <c r="C2792" s="10"/>
      <c r="D2792" s="10"/>
      <c r="E2792" s="10"/>
      <c r="F2792" s="10"/>
      <c r="G2792" s="10"/>
      <c r="H2792" s="10"/>
      <c r="I2792" s="10"/>
      <c r="J2792" s="10"/>
      <c r="K2792" s="10"/>
      <c r="L2792" s="10"/>
      <c r="M2792" s="10"/>
      <c r="N2792" s="10"/>
      <c r="O2792" s="3"/>
      <c r="P2792" s="10"/>
    </row>
    <row r="2793" spans="1:16" x14ac:dyDescent="0.15">
      <c r="A2793" s="10"/>
      <c r="B2793" s="3"/>
      <c r="C2793" s="10"/>
      <c r="D2793" s="10"/>
      <c r="E2793" s="10"/>
      <c r="F2793" s="10"/>
      <c r="G2793" s="10"/>
      <c r="H2793" s="10"/>
      <c r="I2793" s="10"/>
      <c r="J2793" s="10"/>
      <c r="K2793" s="10"/>
      <c r="L2793" s="10"/>
      <c r="M2793" s="10"/>
      <c r="N2793" s="10"/>
      <c r="O2793" s="3"/>
      <c r="P2793" s="10"/>
    </row>
    <row r="2794" spans="1:16" x14ac:dyDescent="0.15">
      <c r="A2794" s="10"/>
      <c r="B2794" s="3"/>
      <c r="C2794" s="10"/>
      <c r="D2794" s="10"/>
      <c r="E2794" s="10"/>
      <c r="F2794" s="10"/>
      <c r="G2794" s="10"/>
      <c r="H2794" s="10"/>
      <c r="I2794" s="10"/>
      <c r="J2794" s="10"/>
      <c r="K2794" s="10"/>
      <c r="L2794" s="10"/>
      <c r="M2794" s="10"/>
      <c r="N2794" s="10"/>
      <c r="O2794" s="3"/>
      <c r="P2794" s="10"/>
    </row>
    <row r="2795" spans="1:16" x14ac:dyDescent="0.15">
      <c r="A2795" s="10"/>
      <c r="B2795" s="3"/>
      <c r="C2795" s="10"/>
      <c r="D2795" s="10"/>
      <c r="E2795" s="10"/>
      <c r="F2795" s="10"/>
      <c r="G2795" s="10"/>
      <c r="H2795" s="10"/>
      <c r="I2795" s="10"/>
      <c r="J2795" s="10"/>
      <c r="K2795" s="10"/>
      <c r="L2795" s="10"/>
      <c r="M2795" s="10"/>
      <c r="N2795" s="10"/>
      <c r="O2795" s="3"/>
      <c r="P2795" s="10"/>
    </row>
    <row r="2796" spans="1:16" x14ac:dyDescent="0.15">
      <c r="A2796" s="10"/>
      <c r="B2796" s="3"/>
      <c r="C2796" s="10"/>
      <c r="D2796" s="10"/>
      <c r="E2796" s="10"/>
      <c r="F2796" s="10"/>
      <c r="G2796" s="10"/>
      <c r="H2796" s="10"/>
      <c r="I2796" s="10"/>
      <c r="J2796" s="10"/>
      <c r="K2796" s="10"/>
      <c r="L2796" s="10"/>
      <c r="M2796" s="10"/>
      <c r="N2796" s="10"/>
      <c r="O2796" s="3"/>
      <c r="P2796" s="10"/>
    </row>
    <row r="2797" spans="1:16" x14ac:dyDescent="0.15">
      <c r="A2797" s="10"/>
      <c r="B2797" s="3"/>
      <c r="C2797" s="10"/>
      <c r="D2797" s="10"/>
      <c r="E2797" s="10"/>
      <c r="F2797" s="10"/>
      <c r="G2797" s="10"/>
      <c r="H2797" s="10"/>
      <c r="I2797" s="10"/>
      <c r="J2797" s="10"/>
      <c r="K2797" s="10"/>
      <c r="L2797" s="10"/>
      <c r="M2797" s="10"/>
      <c r="N2797" s="10"/>
      <c r="O2797" s="3"/>
      <c r="P2797" s="10"/>
    </row>
    <row r="2798" spans="1:16" x14ac:dyDescent="0.15">
      <c r="A2798" s="10"/>
      <c r="B2798" s="3"/>
      <c r="C2798" s="10"/>
      <c r="D2798" s="10"/>
      <c r="E2798" s="10"/>
      <c r="F2798" s="10"/>
      <c r="G2798" s="10"/>
      <c r="H2798" s="10"/>
      <c r="I2798" s="10"/>
      <c r="J2798" s="10"/>
      <c r="K2798" s="10"/>
      <c r="L2798" s="10"/>
      <c r="M2798" s="10"/>
      <c r="N2798" s="10"/>
      <c r="O2798" s="3"/>
      <c r="P2798" s="10"/>
    </row>
    <row r="2799" spans="1:16" x14ac:dyDescent="0.15">
      <c r="A2799" s="10"/>
      <c r="B2799" s="3"/>
      <c r="C2799" s="10"/>
      <c r="D2799" s="10"/>
      <c r="E2799" s="10"/>
      <c r="F2799" s="10"/>
      <c r="G2799" s="10"/>
      <c r="H2799" s="10"/>
      <c r="I2799" s="10"/>
      <c r="J2799" s="10"/>
      <c r="K2799" s="10"/>
      <c r="L2799" s="10"/>
      <c r="M2799" s="10"/>
      <c r="N2799" s="10"/>
      <c r="O2799" s="3"/>
      <c r="P2799" s="10"/>
    </row>
    <row r="2800" spans="1:16" x14ac:dyDescent="0.15">
      <c r="A2800" s="10"/>
      <c r="B2800" s="3"/>
      <c r="C2800" s="10"/>
      <c r="D2800" s="10"/>
      <c r="E2800" s="10"/>
      <c r="F2800" s="10"/>
      <c r="G2800" s="10"/>
      <c r="H2800" s="10"/>
      <c r="I2800" s="10"/>
      <c r="J2800" s="10"/>
      <c r="K2800" s="10"/>
      <c r="L2800" s="10"/>
      <c r="M2800" s="10"/>
      <c r="N2800" s="10"/>
      <c r="O2800" s="3"/>
      <c r="P2800" s="10"/>
    </row>
    <row r="2801" spans="1:16" x14ac:dyDescent="0.15">
      <c r="A2801" s="10"/>
      <c r="B2801" s="3"/>
      <c r="C2801" s="10"/>
      <c r="D2801" s="10"/>
      <c r="E2801" s="10"/>
      <c r="F2801" s="10"/>
      <c r="G2801" s="10"/>
      <c r="H2801" s="10"/>
      <c r="I2801" s="10"/>
      <c r="J2801" s="10"/>
      <c r="K2801" s="10"/>
      <c r="L2801" s="10"/>
      <c r="M2801" s="10"/>
      <c r="N2801" s="10"/>
      <c r="O2801" s="3"/>
      <c r="P2801" s="10"/>
    </row>
    <row r="2802" spans="1:16" x14ac:dyDescent="0.15">
      <c r="A2802" s="10"/>
      <c r="B2802" s="3"/>
      <c r="C2802" s="10"/>
      <c r="D2802" s="10"/>
      <c r="E2802" s="10"/>
      <c r="F2802" s="10"/>
      <c r="G2802" s="10"/>
      <c r="H2802" s="10"/>
      <c r="I2802" s="10"/>
      <c r="J2802" s="10"/>
      <c r="K2802" s="10"/>
      <c r="L2802" s="10"/>
      <c r="M2802" s="10"/>
      <c r="N2802" s="10"/>
      <c r="O2802" s="3"/>
      <c r="P2802" s="10"/>
    </row>
    <row r="2803" spans="1:16" x14ac:dyDescent="0.15">
      <c r="A2803" s="10"/>
      <c r="B2803" s="3"/>
      <c r="C2803" s="10"/>
      <c r="D2803" s="10"/>
      <c r="E2803" s="10"/>
      <c r="F2803" s="10"/>
      <c r="G2803" s="10"/>
      <c r="H2803" s="10"/>
      <c r="I2803" s="10"/>
      <c r="J2803" s="10"/>
      <c r="K2803" s="10"/>
      <c r="L2803" s="10"/>
      <c r="M2803" s="10"/>
      <c r="N2803" s="10"/>
      <c r="O2803" s="3"/>
      <c r="P2803" s="10"/>
    </row>
    <row r="2804" spans="1:16" x14ac:dyDescent="0.15">
      <c r="A2804" s="10"/>
      <c r="B2804" s="3"/>
      <c r="C2804" s="10"/>
      <c r="D2804" s="10"/>
      <c r="E2804" s="10"/>
      <c r="F2804" s="10"/>
      <c r="G2804" s="10"/>
      <c r="H2804" s="10"/>
      <c r="I2804" s="10"/>
      <c r="J2804" s="10"/>
      <c r="K2804" s="10"/>
      <c r="L2804" s="10"/>
      <c r="M2804" s="10"/>
      <c r="N2804" s="10"/>
      <c r="O2804" s="3"/>
      <c r="P2804" s="10"/>
    </row>
    <row r="2805" spans="1:16" x14ac:dyDescent="0.15">
      <c r="A2805" s="10"/>
      <c r="B2805" s="3"/>
      <c r="C2805" s="10"/>
      <c r="D2805" s="10"/>
      <c r="E2805" s="10"/>
      <c r="F2805" s="10"/>
      <c r="G2805" s="10"/>
      <c r="H2805" s="10"/>
      <c r="I2805" s="10"/>
      <c r="J2805" s="10"/>
      <c r="K2805" s="10"/>
      <c r="L2805" s="10"/>
      <c r="M2805" s="10"/>
      <c r="N2805" s="10"/>
      <c r="O2805" s="3"/>
      <c r="P2805" s="10"/>
    </row>
    <row r="2806" spans="1:16" x14ac:dyDescent="0.15">
      <c r="A2806" s="10"/>
      <c r="B2806" s="3"/>
      <c r="C2806" s="10"/>
      <c r="D2806" s="10"/>
      <c r="E2806" s="10"/>
      <c r="F2806" s="10"/>
      <c r="G2806" s="10"/>
      <c r="H2806" s="10"/>
      <c r="I2806" s="10"/>
      <c r="J2806" s="10"/>
      <c r="K2806" s="10"/>
      <c r="L2806" s="10"/>
      <c r="M2806" s="10"/>
      <c r="N2806" s="10"/>
      <c r="O2806" s="3"/>
      <c r="P2806" s="10"/>
    </row>
    <row r="2807" spans="1:16" x14ac:dyDescent="0.15">
      <c r="A2807" s="10"/>
      <c r="B2807" s="3"/>
      <c r="C2807" s="10"/>
      <c r="D2807" s="10"/>
      <c r="E2807" s="10"/>
      <c r="F2807" s="10"/>
      <c r="G2807" s="10"/>
      <c r="H2807" s="10"/>
      <c r="I2807" s="10"/>
      <c r="J2807" s="10"/>
      <c r="K2807" s="10"/>
      <c r="L2807" s="10"/>
      <c r="M2807" s="10"/>
      <c r="N2807" s="10"/>
      <c r="O2807" s="3"/>
      <c r="P2807" s="10"/>
    </row>
    <row r="2808" spans="1:16" x14ac:dyDescent="0.15">
      <c r="A2808" s="10"/>
      <c r="B2808" s="3"/>
      <c r="C2808" s="10"/>
      <c r="D2808" s="10"/>
      <c r="E2808" s="10"/>
      <c r="F2808" s="10"/>
      <c r="G2808" s="10"/>
      <c r="H2808" s="10"/>
      <c r="I2808" s="10"/>
      <c r="J2808" s="10"/>
      <c r="K2808" s="10"/>
      <c r="L2808" s="10"/>
      <c r="M2808" s="10"/>
      <c r="N2808" s="10"/>
      <c r="O2808" s="3"/>
      <c r="P2808" s="10"/>
    </row>
    <row r="2809" spans="1:16" x14ac:dyDescent="0.15">
      <c r="A2809" s="10"/>
      <c r="B2809" s="3"/>
      <c r="C2809" s="10"/>
      <c r="D2809" s="10"/>
      <c r="E2809" s="10"/>
      <c r="F2809" s="10"/>
      <c r="G2809" s="10"/>
      <c r="H2809" s="10"/>
      <c r="I2809" s="10"/>
      <c r="J2809" s="10"/>
      <c r="K2809" s="10"/>
      <c r="L2809" s="10"/>
      <c r="M2809" s="10"/>
      <c r="N2809" s="10"/>
      <c r="O2809" s="3"/>
      <c r="P2809" s="10"/>
    </row>
    <row r="2810" spans="1:16" x14ac:dyDescent="0.15">
      <c r="A2810" s="10"/>
      <c r="B2810" s="3"/>
      <c r="C2810" s="10"/>
      <c r="D2810" s="10"/>
      <c r="E2810" s="10"/>
      <c r="F2810" s="10"/>
      <c r="G2810" s="10"/>
      <c r="H2810" s="10"/>
      <c r="I2810" s="10"/>
      <c r="J2810" s="10"/>
      <c r="K2810" s="10"/>
      <c r="L2810" s="10"/>
      <c r="M2810" s="10"/>
      <c r="N2810" s="10"/>
      <c r="O2810" s="3"/>
      <c r="P2810" s="10"/>
    </row>
    <row r="2811" spans="1:16" x14ac:dyDescent="0.15">
      <c r="A2811" s="10"/>
      <c r="B2811" s="3"/>
      <c r="C2811" s="10"/>
      <c r="D2811" s="10"/>
      <c r="E2811" s="10"/>
      <c r="F2811" s="10"/>
      <c r="G2811" s="10"/>
      <c r="H2811" s="10"/>
      <c r="I2811" s="10"/>
      <c r="J2811" s="10"/>
      <c r="K2811" s="10"/>
      <c r="L2811" s="10"/>
      <c r="M2811" s="10"/>
      <c r="N2811" s="10"/>
      <c r="O2811" s="3"/>
      <c r="P2811" s="10"/>
    </row>
    <row r="2812" spans="1:16" x14ac:dyDescent="0.15">
      <c r="A2812" s="10"/>
      <c r="B2812" s="3"/>
      <c r="C2812" s="10"/>
      <c r="D2812" s="10"/>
      <c r="E2812" s="10"/>
      <c r="F2812" s="10"/>
      <c r="G2812" s="10"/>
      <c r="H2812" s="10"/>
      <c r="I2812" s="10"/>
      <c r="J2812" s="10"/>
      <c r="K2812" s="10"/>
      <c r="L2812" s="10"/>
      <c r="M2812" s="10"/>
      <c r="N2812" s="10"/>
      <c r="O2812" s="3"/>
      <c r="P2812" s="10"/>
    </row>
    <row r="2813" spans="1:16" x14ac:dyDescent="0.15">
      <c r="A2813" s="10"/>
      <c r="B2813" s="3"/>
      <c r="C2813" s="10"/>
      <c r="D2813" s="10"/>
      <c r="E2813" s="10"/>
      <c r="F2813" s="10"/>
      <c r="G2813" s="10"/>
      <c r="H2813" s="10"/>
      <c r="I2813" s="10"/>
      <c r="J2813" s="10"/>
      <c r="K2813" s="10"/>
      <c r="L2813" s="10"/>
      <c r="M2813" s="10"/>
      <c r="N2813" s="10"/>
      <c r="O2813" s="3"/>
      <c r="P2813" s="10"/>
    </row>
    <row r="2814" spans="1:16" x14ac:dyDescent="0.15">
      <c r="A2814" s="10"/>
      <c r="B2814" s="3"/>
      <c r="C2814" s="10"/>
      <c r="D2814" s="10"/>
      <c r="E2814" s="10"/>
      <c r="F2814" s="10"/>
      <c r="G2814" s="10"/>
      <c r="H2814" s="10"/>
      <c r="I2814" s="10"/>
      <c r="J2814" s="10"/>
      <c r="K2814" s="10"/>
      <c r="L2814" s="10"/>
      <c r="M2814" s="10"/>
      <c r="N2814" s="10"/>
      <c r="O2814" s="3"/>
      <c r="P2814" s="10"/>
    </row>
    <row r="2815" spans="1:16" x14ac:dyDescent="0.15">
      <c r="A2815" s="10"/>
      <c r="B2815" s="3"/>
      <c r="C2815" s="10"/>
      <c r="D2815" s="10"/>
      <c r="E2815" s="10"/>
      <c r="F2815" s="10"/>
      <c r="G2815" s="10"/>
      <c r="H2815" s="10"/>
      <c r="I2815" s="10"/>
      <c r="J2815" s="10"/>
      <c r="K2815" s="10"/>
      <c r="L2815" s="10"/>
      <c r="M2815" s="10"/>
      <c r="N2815" s="10"/>
      <c r="O2815" s="3"/>
      <c r="P2815" s="10"/>
    </row>
    <row r="2816" spans="1:16" x14ac:dyDescent="0.15">
      <c r="A2816" s="10"/>
      <c r="B2816" s="3"/>
      <c r="C2816" s="10"/>
      <c r="D2816" s="10"/>
      <c r="E2816" s="10"/>
      <c r="F2816" s="10"/>
      <c r="G2816" s="10"/>
      <c r="H2816" s="10"/>
      <c r="I2816" s="10"/>
      <c r="J2816" s="10"/>
      <c r="K2816" s="10"/>
      <c r="L2816" s="10"/>
      <c r="M2816" s="10"/>
      <c r="N2816" s="10"/>
      <c r="O2816" s="3"/>
      <c r="P2816" s="10"/>
    </row>
    <row r="2817" spans="1:16" x14ac:dyDescent="0.15">
      <c r="A2817" s="10"/>
      <c r="B2817" s="3"/>
      <c r="C2817" s="10"/>
      <c r="D2817" s="10"/>
      <c r="E2817" s="10"/>
      <c r="F2817" s="10"/>
      <c r="G2817" s="10"/>
      <c r="H2817" s="10"/>
      <c r="I2817" s="10"/>
      <c r="J2817" s="10"/>
      <c r="K2817" s="10"/>
      <c r="L2817" s="10"/>
      <c r="M2817" s="10"/>
      <c r="N2817" s="10"/>
      <c r="O2817" s="3"/>
      <c r="P2817" s="10"/>
    </row>
    <row r="2818" spans="1:16" x14ac:dyDescent="0.15">
      <c r="A2818" s="10"/>
      <c r="B2818" s="3"/>
      <c r="C2818" s="10"/>
      <c r="D2818" s="10"/>
      <c r="E2818" s="10"/>
      <c r="F2818" s="10"/>
      <c r="G2818" s="10"/>
      <c r="H2818" s="10"/>
      <c r="I2818" s="10"/>
      <c r="J2818" s="10"/>
      <c r="K2818" s="10"/>
      <c r="L2818" s="10"/>
      <c r="M2818" s="10"/>
      <c r="N2818" s="10"/>
      <c r="O2818" s="3"/>
      <c r="P2818" s="10"/>
    </row>
    <row r="2819" spans="1:16" x14ac:dyDescent="0.15">
      <c r="A2819" s="10"/>
      <c r="B2819" s="3"/>
      <c r="C2819" s="10"/>
      <c r="D2819" s="10"/>
      <c r="E2819" s="10"/>
      <c r="F2819" s="10"/>
      <c r="G2819" s="10"/>
      <c r="H2819" s="10"/>
      <c r="I2819" s="10"/>
      <c r="J2819" s="10"/>
      <c r="K2819" s="10"/>
      <c r="L2819" s="10"/>
      <c r="M2819" s="10"/>
      <c r="N2819" s="10"/>
      <c r="O2819" s="3"/>
      <c r="P2819" s="10"/>
    </row>
    <row r="2820" spans="1:16" x14ac:dyDescent="0.15">
      <c r="A2820" s="10"/>
      <c r="B2820" s="3"/>
      <c r="C2820" s="10"/>
      <c r="D2820" s="10"/>
      <c r="E2820" s="10"/>
      <c r="F2820" s="10"/>
      <c r="G2820" s="10"/>
      <c r="H2820" s="10"/>
      <c r="I2820" s="10"/>
      <c r="J2820" s="10"/>
      <c r="K2820" s="10"/>
      <c r="L2820" s="10"/>
      <c r="M2820" s="10"/>
      <c r="N2820" s="10"/>
      <c r="O2820" s="3"/>
      <c r="P2820" s="10"/>
    </row>
    <row r="2821" spans="1:16" x14ac:dyDescent="0.15">
      <c r="A2821" s="10"/>
      <c r="B2821" s="3"/>
      <c r="C2821" s="10"/>
      <c r="D2821" s="10"/>
      <c r="E2821" s="10"/>
      <c r="F2821" s="10"/>
      <c r="G2821" s="10"/>
      <c r="H2821" s="10"/>
      <c r="I2821" s="10"/>
      <c r="J2821" s="10"/>
      <c r="K2821" s="10"/>
      <c r="L2821" s="10"/>
      <c r="M2821" s="10"/>
      <c r="N2821" s="10"/>
      <c r="O2821" s="3"/>
      <c r="P2821" s="10"/>
    </row>
    <row r="2822" spans="1:16" x14ac:dyDescent="0.15">
      <c r="A2822" s="10"/>
      <c r="B2822" s="3"/>
      <c r="C2822" s="10"/>
      <c r="D2822" s="10"/>
      <c r="E2822" s="10"/>
      <c r="F2822" s="10"/>
      <c r="G2822" s="10"/>
      <c r="H2822" s="10"/>
      <c r="I2822" s="10"/>
      <c r="J2822" s="10"/>
      <c r="K2822" s="10"/>
      <c r="L2822" s="10"/>
      <c r="M2822" s="10"/>
      <c r="N2822" s="10"/>
      <c r="O2822" s="3"/>
      <c r="P2822" s="10"/>
    </row>
    <row r="2823" spans="1:16" x14ac:dyDescent="0.15">
      <c r="A2823" s="10"/>
      <c r="B2823" s="3"/>
      <c r="C2823" s="10"/>
      <c r="D2823" s="10"/>
      <c r="E2823" s="10"/>
      <c r="F2823" s="10"/>
      <c r="G2823" s="10"/>
      <c r="H2823" s="10"/>
      <c r="I2823" s="10"/>
      <c r="J2823" s="10"/>
      <c r="K2823" s="10"/>
      <c r="L2823" s="10"/>
      <c r="M2823" s="10"/>
      <c r="N2823" s="10"/>
      <c r="O2823" s="3"/>
      <c r="P2823" s="10"/>
    </row>
    <row r="2824" spans="1:16" x14ac:dyDescent="0.15">
      <c r="A2824" s="10"/>
      <c r="B2824" s="3"/>
      <c r="C2824" s="10"/>
      <c r="D2824" s="10"/>
      <c r="E2824" s="10"/>
      <c r="F2824" s="10"/>
      <c r="G2824" s="10"/>
      <c r="H2824" s="10"/>
      <c r="I2824" s="10"/>
      <c r="J2824" s="10"/>
      <c r="K2824" s="10"/>
      <c r="L2824" s="10"/>
      <c r="M2824" s="10"/>
      <c r="N2824" s="10"/>
      <c r="O2824" s="3"/>
      <c r="P2824" s="10"/>
    </row>
    <row r="2825" spans="1:16" x14ac:dyDescent="0.15">
      <c r="A2825" s="10"/>
      <c r="B2825" s="3"/>
      <c r="C2825" s="10"/>
      <c r="D2825" s="10"/>
      <c r="E2825" s="10"/>
      <c r="F2825" s="10"/>
      <c r="G2825" s="10"/>
      <c r="H2825" s="10"/>
      <c r="I2825" s="10"/>
      <c r="J2825" s="10"/>
      <c r="K2825" s="10"/>
      <c r="L2825" s="10"/>
      <c r="M2825" s="10"/>
      <c r="N2825" s="10"/>
      <c r="O2825" s="3"/>
      <c r="P2825" s="10"/>
    </row>
    <row r="2826" spans="1:16" x14ac:dyDescent="0.15">
      <c r="A2826" s="10"/>
      <c r="B2826" s="3"/>
      <c r="C2826" s="10"/>
      <c r="D2826" s="10"/>
      <c r="E2826" s="10"/>
      <c r="F2826" s="10"/>
      <c r="G2826" s="10"/>
      <c r="H2826" s="10"/>
      <c r="I2826" s="10"/>
      <c r="J2826" s="10"/>
      <c r="K2826" s="10"/>
      <c r="L2826" s="10"/>
      <c r="M2826" s="10"/>
      <c r="N2826" s="10"/>
      <c r="O2826" s="3"/>
      <c r="P2826" s="10"/>
    </row>
    <row r="2827" spans="1:16" x14ac:dyDescent="0.15">
      <c r="A2827" s="10"/>
      <c r="B2827" s="3"/>
      <c r="C2827" s="10"/>
      <c r="D2827" s="10"/>
      <c r="E2827" s="10"/>
      <c r="F2827" s="10"/>
      <c r="G2827" s="10"/>
      <c r="H2827" s="10"/>
      <c r="I2827" s="10"/>
      <c r="J2827" s="10"/>
      <c r="K2827" s="10"/>
      <c r="L2827" s="10"/>
      <c r="M2827" s="10"/>
      <c r="N2827" s="10"/>
      <c r="O2827" s="3"/>
      <c r="P2827" s="10"/>
    </row>
    <row r="2828" spans="1:16" x14ac:dyDescent="0.15">
      <c r="A2828" s="10"/>
      <c r="B2828" s="3"/>
      <c r="C2828" s="10"/>
      <c r="D2828" s="10"/>
      <c r="E2828" s="10"/>
      <c r="F2828" s="10"/>
      <c r="G2828" s="10"/>
      <c r="H2828" s="10"/>
      <c r="I2828" s="10"/>
      <c r="J2828" s="10"/>
      <c r="K2828" s="10"/>
      <c r="L2828" s="10"/>
      <c r="M2828" s="10"/>
      <c r="N2828" s="10"/>
      <c r="O2828" s="3"/>
      <c r="P2828" s="10"/>
    </row>
    <row r="2829" spans="1:16" x14ac:dyDescent="0.15">
      <c r="A2829" s="10"/>
      <c r="B2829" s="3"/>
      <c r="C2829" s="10"/>
      <c r="D2829" s="10"/>
      <c r="E2829" s="10"/>
      <c r="F2829" s="10"/>
      <c r="G2829" s="10"/>
      <c r="H2829" s="10"/>
      <c r="I2829" s="10"/>
      <c r="J2829" s="10"/>
      <c r="K2829" s="10"/>
      <c r="L2829" s="10"/>
      <c r="M2829" s="10"/>
      <c r="N2829" s="10"/>
      <c r="O2829" s="3"/>
      <c r="P2829" s="10"/>
    </row>
    <row r="2830" spans="1:16" x14ac:dyDescent="0.15">
      <c r="A2830" s="10"/>
      <c r="B2830" s="3"/>
      <c r="C2830" s="10"/>
      <c r="D2830" s="10"/>
      <c r="E2830" s="10"/>
      <c r="F2830" s="10"/>
      <c r="G2830" s="10"/>
      <c r="H2830" s="10"/>
      <c r="I2830" s="10"/>
      <c r="J2830" s="10"/>
      <c r="K2830" s="10"/>
      <c r="L2830" s="10"/>
      <c r="M2830" s="10"/>
      <c r="N2830" s="10"/>
      <c r="O2830" s="3"/>
      <c r="P2830" s="10"/>
    </row>
    <row r="2831" spans="1:16" x14ac:dyDescent="0.15">
      <c r="A2831" s="10"/>
      <c r="B2831" s="3"/>
      <c r="C2831" s="10"/>
      <c r="D2831" s="10"/>
      <c r="E2831" s="10"/>
      <c r="F2831" s="10"/>
      <c r="G2831" s="10"/>
      <c r="H2831" s="10"/>
      <c r="I2831" s="10"/>
      <c r="J2831" s="10"/>
      <c r="K2831" s="10"/>
      <c r="L2831" s="10"/>
      <c r="M2831" s="10"/>
      <c r="N2831" s="10"/>
      <c r="O2831" s="3"/>
      <c r="P2831" s="10"/>
    </row>
    <row r="2832" spans="1:16" x14ac:dyDescent="0.15">
      <c r="A2832" s="10"/>
      <c r="B2832" s="3"/>
      <c r="C2832" s="10"/>
      <c r="D2832" s="10"/>
      <c r="E2832" s="10"/>
      <c r="F2832" s="10"/>
      <c r="G2832" s="10"/>
      <c r="H2832" s="10"/>
      <c r="I2832" s="10"/>
      <c r="J2832" s="10"/>
      <c r="K2832" s="10"/>
      <c r="L2832" s="10"/>
      <c r="M2832" s="10"/>
      <c r="N2832" s="10"/>
      <c r="O2832" s="3"/>
      <c r="P2832" s="10"/>
    </row>
    <row r="2833" spans="1:16" x14ac:dyDescent="0.15">
      <c r="A2833" s="10"/>
      <c r="B2833" s="3"/>
      <c r="C2833" s="10"/>
      <c r="D2833" s="10"/>
      <c r="E2833" s="10"/>
      <c r="F2833" s="10"/>
      <c r="G2833" s="10"/>
      <c r="H2833" s="10"/>
      <c r="I2833" s="10"/>
      <c r="J2833" s="10"/>
      <c r="K2833" s="10"/>
      <c r="L2833" s="10"/>
      <c r="M2833" s="10"/>
      <c r="N2833" s="10"/>
      <c r="O2833" s="3"/>
      <c r="P2833" s="10"/>
    </row>
    <row r="2834" spans="1:16" x14ac:dyDescent="0.15">
      <c r="A2834" s="10"/>
      <c r="B2834" s="3"/>
      <c r="C2834" s="10"/>
      <c r="D2834" s="10"/>
      <c r="E2834" s="10"/>
      <c r="F2834" s="10"/>
      <c r="G2834" s="10"/>
      <c r="H2834" s="10"/>
      <c r="I2834" s="10"/>
      <c r="J2834" s="10"/>
      <c r="K2834" s="10"/>
      <c r="L2834" s="10"/>
      <c r="M2834" s="10"/>
      <c r="N2834" s="10"/>
      <c r="O2834" s="3"/>
      <c r="P2834" s="10"/>
    </row>
    <row r="2835" spans="1:16" x14ac:dyDescent="0.15">
      <c r="A2835" s="10"/>
      <c r="B2835" s="3"/>
      <c r="C2835" s="10"/>
      <c r="D2835" s="10"/>
      <c r="E2835" s="10"/>
      <c r="F2835" s="10"/>
      <c r="G2835" s="10"/>
      <c r="H2835" s="10"/>
      <c r="I2835" s="10"/>
      <c r="J2835" s="10"/>
      <c r="K2835" s="10"/>
      <c r="L2835" s="10"/>
      <c r="M2835" s="10"/>
      <c r="N2835" s="10"/>
      <c r="O2835" s="3"/>
      <c r="P2835" s="10"/>
    </row>
    <row r="2836" spans="1:16" x14ac:dyDescent="0.15">
      <c r="A2836" s="10"/>
      <c r="B2836" s="3"/>
      <c r="C2836" s="10"/>
      <c r="D2836" s="10"/>
      <c r="E2836" s="10"/>
      <c r="F2836" s="10"/>
      <c r="G2836" s="10"/>
      <c r="H2836" s="10"/>
      <c r="I2836" s="10"/>
      <c r="J2836" s="10"/>
      <c r="K2836" s="10"/>
      <c r="L2836" s="10"/>
      <c r="M2836" s="10"/>
      <c r="N2836" s="10"/>
      <c r="O2836" s="3"/>
      <c r="P2836" s="10"/>
    </row>
    <row r="2837" spans="1:16" x14ac:dyDescent="0.15">
      <c r="A2837" s="10"/>
      <c r="B2837" s="3"/>
      <c r="C2837" s="10"/>
      <c r="D2837" s="10"/>
      <c r="E2837" s="10"/>
      <c r="F2837" s="10"/>
      <c r="G2837" s="10"/>
      <c r="H2837" s="10"/>
      <c r="I2837" s="10"/>
      <c r="J2837" s="10"/>
      <c r="K2837" s="10"/>
      <c r="L2837" s="10"/>
      <c r="M2837" s="10"/>
      <c r="N2837" s="10"/>
      <c r="O2837" s="3"/>
      <c r="P2837" s="10"/>
    </row>
    <row r="2838" spans="1:16" x14ac:dyDescent="0.15">
      <c r="A2838" s="10"/>
      <c r="B2838" s="3"/>
      <c r="C2838" s="10"/>
      <c r="D2838" s="10"/>
      <c r="E2838" s="10"/>
      <c r="F2838" s="10"/>
      <c r="G2838" s="10"/>
      <c r="H2838" s="10"/>
      <c r="I2838" s="10"/>
      <c r="J2838" s="10"/>
      <c r="K2838" s="10"/>
      <c r="L2838" s="10"/>
      <c r="M2838" s="10"/>
      <c r="N2838" s="10"/>
      <c r="O2838" s="3"/>
      <c r="P2838" s="10"/>
    </row>
    <row r="2839" spans="1:16" x14ac:dyDescent="0.15">
      <c r="A2839" s="10"/>
      <c r="B2839" s="3"/>
      <c r="C2839" s="10"/>
      <c r="D2839" s="10"/>
      <c r="E2839" s="10"/>
      <c r="F2839" s="10"/>
      <c r="G2839" s="10"/>
      <c r="H2839" s="10"/>
      <c r="I2839" s="10"/>
      <c r="J2839" s="10"/>
      <c r="K2839" s="10"/>
      <c r="L2839" s="10"/>
      <c r="M2839" s="10"/>
      <c r="N2839" s="10"/>
      <c r="O2839" s="3"/>
      <c r="P2839" s="10"/>
    </row>
    <row r="2840" spans="1:16" x14ac:dyDescent="0.15">
      <c r="A2840" s="10"/>
      <c r="B2840" s="3"/>
      <c r="C2840" s="10"/>
      <c r="D2840" s="10"/>
      <c r="E2840" s="10"/>
      <c r="F2840" s="10"/>
      <c r="G2840" s="10"/>
      <c r="H2840" s="10"/>
      <c r="I2840" s="10"/>
      <c r="J2840" s="10"/>
      <c r="K2840" s="10"/>
      <c r="L2840" s="10"/>
      <c r="M2840" s="10"/>
      <c r="N2840" s="10"/>
      <c r="O2840" s="3"/>
      <c r="P2840" s="10"/>
    </row>
    <row r="2841" spans="1:16" x14ac:dyDescent="0.15">
      <c r="A2841" s="10"/>
      <c r="B2841" s="3"/>
      <c r="C2841" s="10"/>
      <c r="D2841" s="10"/>
      <c r="E2841" s="10"/>
      <c r="F2841" s="10"/>
      <c r="G2841" s="10"/>
      <c r="H2841" s="10"/>
      <c r="I2841" s="10"/>
      <c r="J2841" s="10"/>
      <c r="K2841" s="10"/>
      <c r="L2841" s="10"/>
      <c r="M2841" s="10"/>
      <c r="N2841" s="10"/>
      <c r="O2841" s="3"/>
      <c r="P2841" s="10"/>
    </row>
    <row r="2842" spans="1:16" x14ac:dyDescent="0.15">
      <c r="A2842" s="10"/>
      <c r="B2842" s="3"/>
      <c r="C2842" s="10"/>
      <c r="D2842" s="10"/>
      <c r="E2842" s="10"/>
      <c r="F2842" s="10"/>
      <c r="G2842" s="10"/>
      <c r="H2842" s="10"/>
      <c r="I2842" s="10"/>
      <c r="J2842" s="10"/>
      <c r="K2842" s="10"/>
      <c r="L2842" s="10"/>
      <c r="M2842" s="10"/>
      <c r="N2842" s="10"/>
      <c r="O2842" s="3"/>
      <c r="P2842" s="10"/>
    </row>
    <row r="2843" spans="1:16" x14ac:dyDescent="0.15">
      <c r="A2843" s="10"/>
      <c r="B2843" s="3"/>
      <c r="C2843" s="10"/>
      <c r="D2843" s="10"/>
      <c r="E2843" s="10"/>
      <c r="F2843" s="10"/>
      <c r="G2843" s="10"/>
      <c r="H2843" s="10"/>
      <c r="I2843" s="10"/>
      <c r="J2843" s="10"/>
      <c r="K2843" s="10"/>
      <c r="L2843" s="10"/>
      <c r="M2843" s="10"/>
      <c r="N2843" s="10"/>
      <c r="O2843" s="3"/>
      <c r="P2843" s="10"/>
    </row>
    <row r="2844" spans="1:16" x14ac:dyDescent="0.15">
      <c r="A2844" s="10"/>
      <c r="B2844" s="3"/>
      <c r="C2844" s="10"/>
      <c r="D2844" s="10"/>
      <c r="E2844" s="10"/>
      <c r="F2844" s="10"/>
      <c r="G2844" s="10"/>
      <c r="H2844" s="10"/>
      <c r="I2844" s="10"/>
      <c r="J2844" s="10"/>
      <c r="K2844" s="10"/>
      <c r="L2844" s="10"/>
      <c r="M2844" s="10"/>
      <c r="N2844" s="10"/>
      <c r="O2844" s="3"/>
      <c r="P2844" s="10"/>
    </row>
    <row r="2845" spans="1:16" x14ac:dyDescent="0.15">
      <c r="A2845" s="10"/>
      <c r="B2845" s="3"/>
      <c r="C2845" s="10"/>
      <c r="D2845" s="10"/>
      <c r="E2845" s="10"/>
      <c r="F2845" s="10"/>
      <c r="G2845" s="10"/>
      <c r="H2845" s="10"/>
      <c r="I2845" s="10"/>
      <c r="J2845" s="10"/>
      <c r="K2845" s="10"/>
      <c r="L2845" s="10"/>
      <c r="M2845" s="10"/>
      <c r="N2845" s="10"/>
      <c r="O2845" s="3"/>
      <c r="P2845" s="10"/>
    </row>
    <row r="2846" spans="1:16" x14ac:dyDescent="0.15">
      <c r="A2846" s="10"/>
      <c r="B2846" s="3"/>
      <c r="C2846" s="10"/>
      <c r="D2846" s="10"/>
      <c r="E2846" s="10"/>
      <c r="F2846" s="10"/>
      <c r="G2846" s="10"/>
      <c r="H2846" s="10"/>
      <c r="I2846" s="10"/>
      <c r="J2846" s="10"/>
      <c r="K2846" s="10"/>
      <c r="L2846" s="10"/>
      <c r="M2846" s="10"/>
      <c r="N2846" s="10"/>
      <c r="O2846" s="3"/>
      <c r="P2846" s="10"/>
    </row>
    <row r="2847" spans="1:16" x14ac:dyDescent="0.15">
      <c r="A2847" s="10"/>
      <c r="B2847" s="3"/>
      <c r="C2847" s="10"/>
      <c r="D2847" s="10"/>
      <c r="E2847" s="10"/>
      <c r="F2847" s="10"/>
      <c r="G2847" s="10"/>
      <c r="H2847" s="10"/>
      <c r="I2847" s="10"/>
      <c r="J2847" s="10"/>
      <c r="K2847" s="10"/>
      <c r="L2847" s="10"/>
      <c r="M2847" s="10"/>
      <c r="N2847" s="10"/>
      <c r="O2847" s="3"/>
      <c r="P2847" s="10"/>
    </row>
    <row r="2848" spans="1:16" x14ac:dyDescent="0.15">
      <c r="A2848" s="10"/>
      <c r="B2848" s="3"/>
      <c r="C2848" s="10"/>
      <c r="D2848" s="10"/>
      <c r="E2848" s="10"/>
      <c r="F2848" s="10"/>
      <c r="G2848" s="10"/>
      <c r="H2848" s="10"/>
      <c r="I2848" s="10"/>
      <c r="J2848" s="10"/>
      <c r="K2848" s="10"/>
      <c r="L2848" s="10"/>
      <c r="M2848" s="10"/>
      <c r="N2848" s="10"/>
      <c r="O2848" s="3"/>
      <c r="P2848" s="10"/>
    </row>
    <row r="2849" spans="1:16" x14ac:dyDescent="0.15">
      <c r="A2849" s="10"/>
      <c r="B2849" s="3"/>
      <c r="C2849" s="10"/>
      <c r="D2849" s="10"/>
      <c r="E2849" s="10"/>
      <c r="F2849" s="10"/>
      <c r="G2849" s="10"/>
      <c r="H2849" s="10"/>
      <c r="I2849" s="10"/>
      <c r="J2849" s="10"/>
      <c r="K2849" s="10"/>
      <c r="L2849" s="10"/>
      <c r="M2849" s="10"/>
      <c r="N2849" s="10"/>
      <c r="O2849" s="3"/>
      <c r="P2849" s="10"/>
    </row>
    <row r="2850" spans="1:16" x14ac:dyDescent="0.15">
      <c r="A2850" s="10"/>
      <c r="B2850" s="3"/>
      <c r="C2850" s="10"/>
      <c r="D2850" s="10"/>
      <c r="E2850" s="10"/>
      <c r="F2850" s="10"/>
      <c r="G2850" s="10"/>
      <c r="H2850" s="10"/>
      <c r="I2850" s="10"/>
      <c r="J2850" s="10"/>
      <c r="K2850" s="10"/>
      <c r="L2850" s="10"/>
      <c r="M2850" s="10"/>
      <c r="N2850" s="10"/>
      <c r="O2850" s="3"/>
      <c r="P2850" s="10"/>
    </row>
    <row r="2851" spans="1:16" x14ac:dyDescent="0.15">
      <c r="A2851" s="10"/>
      <c r="B2851" s="3"/>
      <c r="C2851" s="10"/>
      <c r="D2851" s="10"/>
      <c r="E2851" s="10"/>
      <c r="F2851" s="10"/>
      <c r="G2851" s="10"/>
      <c r="H2851" s="10"/>
      <c r="I2851" s="10"/>
      <c r="J2851" s="10"/>
      <c r="K2851" s="10"/>
      <c r="L2851" s="10"/>
      <c r="M2851" s="10"/>
      <c r="N2851" s="10"/>
      <c r="O2851" s="3"/>
      <c r="P2851" s="10"/>
    </row>
    <row r="2852" spans="1:16" x14ac:dyDescent="0.15">
      <c r="A2852" s="10"/>
      <c r="B2852" s="3"/>
      <c r="C2852" s="10"/>
      <c r="D2852" s="10"/>
      <c r="E2852" s="10"/>
      <c r="F2852" s="10"/>
      <c r="G2852" s="10"/>
      <c r="H2852" s="10"/>
      <c r="I2852" s="10"/>
      <c r="J2852" s="10"/>
      <c r="K2852" s="10"/>
      <c r="L2852" s="10"/>
      <c r="M2852" s="10"/>
      <c r="N2852" s="10"/>
      <c r="O2852" s="3"/>
      <c r="P2852" s="10"/>
    </row>
    <row r="2853" spans="1:16" x14ac:dyDescent="0.15">
      <c r="A2853" s="10"/>
      <c r="B2853" s="3"/>
      <c r="C2853" s="10"/>
      <c r="D2853" s="10"/>
      <c r="E2853" s="10"/>
      <c r="F2853" s="10"/>
      <c r="G2853" s="10"/>
      <c r="H2853" s="10"/>
      <c r="I2853" s="10"/>
      <c r="J2853" s="10"/>
      <c r="K2853" s="10"/>
      <c r="L2853" s="10"/>
      <c r="M2853" s="10"/>
      <c r="N2853" s="10"/>
      <c r="O2853" s="3"/>
      <c r="P2853" s="10"/>
    </row>
    <row r="2854" spans="1:16" x14ac:dyDescent="0.15">
      <c r="A2854" s="10"/>
      <c r="B2854" s="3"/>
      <c r="C2854" s="10"/>
      <c r="D2854" s="10"/>
      <c r="E2854" s="10"/>
      <c r="F2854" s="10"/>
      <c r="G2854" s="10"/>
      <c r="H2854" s="10"/>
      <c r="I2854" s="10"/>
      <c r="J2854" s="10"/>
      <c r="K2854" s="10"/>
      <c r="L2854" s="10"/>
      <c r="M2854" s="10"/>
      <c r="N2854" s="10"/>
      <c r="O2854" s="3"/>
      <c r="P2854" s="10"/>
    </row>
    <row r="2855" spans="1:16" x14ac:dyDescent="0.15">
      <c r="A2855" s="10"/>
      <c r="B2855" s="3"/>
      <c r="C2855" s="10"/>
      <c r="D2855" s="10"/>
      <c r="E2855" s="10"/>
      <c r="F2855" s="10"/>
      <c r="G2855" s="10"/>
      <c r="H2855" s="10"/>
      <c r="I2855" s="10"/>
      <c r="J2855" s="10"/>
      <c r="K2855" s="10"/>
      <c r="L2855" s="10"/>
      <c r="M2855" s="10"/>
      <c r="N2855" s="10"/>
      <c r="O2855" s="3"/>
      <c r="P2855" s="10"/>
    </row>
    <row r="2856" spans="1:16" x14ac:dyDescent="0.15">
      <c r="A2856" s="10"/>
      <c r="B2856" s="3"/>
      <c r="C2856" s="10"/>
      <c r="D2856" s="10"/>
      <c r="E2856" s="10"/>
      <c r="F2856" s="10"/>
      <c r="G2856" s="10"/>
      <c r="H2856" s="10"/>
      <c r="I2856" s="10"/>
      <c r="J2856" s="10"/>
      <c r="K2856" s="10"/>
      <c r="L2856" s="10"/>
      <c r="M2856" s="10"/>
      <c r="N2856" s="10"/>
      <c r="O2856" s="3"/>
      <c r="P2856" s="10"/>
    </row>
    <row r="2857" spans="1:16" x14ac:dyDescent="0.15">
      <c r="A2857" s="10"/>
      <c r="B2857" s="3"/>
      <c r="C2857" s="10"/>
      <c r="D2857" s="10"/>
      <c r="E2857" s="10"/>
      <c r="F2857" s="10"/>
      <c r="G2857" s="10"/>
      <c r="H2857" s="10"/>
      <c r="I2857" s="10"/>
      <c r="J2857" s="10"/>
      <c r="K2857" s="10"/>
      <c r="L2857" s="10"/>
      <c r="M2857" s="10"/>
      <c r="N2857" s="10"/>
      <c r="O2857" s="3"/>
      <c r="P2857" s="10"/>
    </row>
    <row r="2858" spans="1:16" x14ac:dyDescent="0.15">
      <c r="A2858" s="10"/>
      <c r="B2858" s="3"/>
      <c r="C2858" s="10"/>
      <c r="D2858" s="10"/>
      <c r="E2858" s="10"/>
      <c r="F2858" s="10"/>
      <c r="G2858" s="10"/>
      <c r="H2858" s="10"/>
      <c r="I2858" s="10"/>
      <c r="J2858" s="10"/>
      <c r="K2858" s="10"/>
      <c r="L2858" s="10"/>
      <c r="M2858" s="10"/>
      <c r="N2858" s="10"/>
      <c r="O2858" s="3"/>
      <c r="P2858" s="10"/>
    </row>
    <row r="2859" spans="1:16" x14ac:dyDescent="0.15">
      <c r="A2859" s="10"/>
      <c r="B2859" s="3"/>
      <c r="C2859" s="10"/>
      <c r="D2859" s="10"/>
      <c r="E2859" s="10"/>
      <c r="F2859" s="10"/>
      <c r="G2859" s="10"/>
      <c r="H2859" s="10"/>
      <c r="I2859" s="10"/>
      <c r="J2859" s="10"/>
      <c r="K2859" s="10"/>
      <c r="L2859" s="10"/>
      <c r="M2859" s="10"/>
      <c r="N2859" s="10"/>
      <c r="O2859" s="3"/>
      <c r="P2859" s="10"/>
    </row>
    <row r="2860" spans="1:16" x14ac:dyDescent="0.15">
      <c r="A2860" s="10"/>
      <c r="B2860" s="3"/>
      <c r="C2860" s="10"/>
      <c r="D2860" s="10"/>
      <c r="E2860" s="10"/>
      <c r="F2860" s="10"/>
      <c r="G2860" s="10"/>
      <c r="H2860" s="10"/>
      <c r="I2860" s="10"/>
      <c r="J2860" s="10"/>
      <c r="K2860" s="10"/>
      <c r="L2860" s="10"/>
      <c r="M2860" s="10"/>
      <c r="N2860" s="10"/>
      <c r="O2860" s="3"/>
      <c r="P2860" s="10"/>
    </row>
    <row r="2861" spans="1:16" x14ac:dyDescent="0.15">
      <c r="A2861" s="10"/>
      <c r="B2861" s="3"/>
      <c r="C2861" s="10"/>
      <c r="D2861" s="10"/>
      <c r="E2861" s="10"/>
      <c r="F2861" s="10"/>
      <c r="G2861" s="10"/>
      <c r="H2861" s="10"/>
      <c r="I2861" s="10"/>
      <c r="J2861" s="10"/>
      <c r="K2861" s="10"/>
      <c r="L2861" s="10"/>
      <c r="M2861" s="10"/>
      <c r="N2861" s="10"/>
      <c r="O2861" s="3"/>
      <c r="P2861" s="10"/>
    </row>
    <row r="2862" spans="1:16" x14ac:dyDescent="0.15">
      <c r="A2862" s="10"/>
      <c r="B2862" s="3"/>
      <c r="C2862" s="10"/>
      <c r="D2862" s="10"/>
      <c r="E2862" s="10"/>
      <c r="F2862" s="10"/>
      <c r="G2862" s="10"/>
      <c r="H2862" s="10"/>
      <c r="I2862" s="10"/>
      <c r="J2862" s="10"/>
      <c r="K2862" s="10"/>
      <c r="L2862" s="10"/>
      <c r="M2862" s="10"/>
      <c r="N2862" s="10"/>
      <c r="O2862" s="3"/>
      <c r="P2862" s="10"/>
    </row>
    <row r="2863" spans="1:16" x14ac:dyDescent="0.15">
      <c r="A2863" s="10"/>
      <c r="B2863" s="3"/>
      <c r="C2863" s="10"/>
      <c r="D2863" s="10"/>
      <c r="E2863" s="10"/>
      <c r="F2863" s="10"/>
      <c r="G2863" s="10"/>
      <c r="H2863" s="10"/>
      <c r="I2863" s="10"/>
      <c r="J2863" s="10"/>
      <c r="K2863" s="10"/>
      <c r="L2863" s="10"/>
      <c r="M2863" s="10"/>
      <c r="N2863" s="10"/>
      <c r="O2863" s="3"/>
      <c r="P2863" s="10"/>
    </row>
    <row r="2864" spans="1:16" x14ac:dyDescent="0.15">
      <c r="A2864" s="10"/>
      <c r="B2864" s="3"/>
      <c r="C2864" s="10"/>
      <c r="D2864" s="10"/>
      <c r="E2864" s="10"/>
      <c r="F2864" s="10"/>
      <c r="G2864" s="10"/>
      <c r="H2864" s="10"/>
      <c r="I2864" s="10"/>
      <c r="J2864" s="10"/>
      <c r="K2864" s="10"/>
      <c r="L2864" s="10"/>
      <c r="M2864" s="10"/>
      <c r="N2864" s="10"/>
      <c r="O2864" s="3"/>
      <c r="P2864" s="10"/>
    </row>
    <row r="2865" spans="1:16" x14ac:dyDescent="0.15">
      <c r="A2865" s="10"/>
      <c r="B2865" s="3"/>
      <c r="C2865" s="10"/>
      <c r="D2865" s="10"/>
      <c r="E2865" s="10"/>
      <c r="F2865" s="10"/>
      <c r="G2865" s="10"/>
      <c r="H2865" s="10"/>
      <c r="I2865" s="10"/>
      <c r="J2865" s="10"/>
      <c r="K2865" s="10"/>
      <c r="L2865" s="10"/>
      <c r="M2865" s="10"/>
      <c r="N2865" s="10"/>
      <c r="O2865" s="3"/>
      <c r="P2865" s="10"/>
    </row>
    <row r="2866" spans="1:16" x14ac:dyDescent="0.15">
      <c r="A2866" s="10"/>
      <c r="B2866" s="3"/>
      <c r="C2866" s="10"/>
      <c r="D2866" s="10"/>
      <c r="E2866" s="10"/>
      <c r="F2866" s="10"/>
      <c r="G2866" s="10"/>
      <c r="H2866" s="10"/>
      <c r="I2866" s="10"/>
      <c r="J2866" s="10"/>
      <c r="K2866" s="10"/>
      <c r="L2866" s="10"/>
      <c r="M2866" s="10"/>
      <c r="N2866" s="10"/>
      <c r="O2866" s="3"/>
      <c r="P2866" s="10"/>
    </row>
    <row r="2867" spans="1:16" x14ac:dyDescent="0.15">
      <c r="A2867" s="10"/>
      <c r="B2867" s="3"/>
      <c r="C2867" s="10"/>
      <c r="D2867" s="10"/>
      <c r="E2867" s="10"/>
      <c r="F2867" s="10"/>
      <c r="G2867" s="10"/>
      <c r="H2867" s="10"/>
      <c r="I2867" s="10"/>
      <c r="J2867" s="10"/>
      <c r="K2867" s="10"/>
      <c r="L2867" s="10"/>
      <c r="M2867" s="10"/>
      <c r="N2867" s="10"/>
      <c r="O2867" s="3"/>
      <c r="P2867" s="10"/>
    </row>
    <row r="2868" spans="1:16" x14ac:dyDescent="0.15">
      <c r="A2868" s="10"/>
      <c r="B2868" s="3"/>
      <c r="C2868" s="10"/>
      <c r="D2868" s="10"/>
      <c r="E2868" s="10"/>
      <c r="F2868" s="10"/>
      <c r="G2868" s="10"/>
      <c r="H2868" s="10"/>
      <c r="I2868" s="10"/>
      <c r="J2868" s="10"/>
      <c r="K2868" s="10"/>
      <c r="L2868" s="10"/>
      <c r="M2868" s="10"/>
      <c r="N2868" s="10"/>
      <c r="O2868" s="3"/>
      <c r="P2868" s="10"/>
    </row>
    <row r="2869" spans="1:16" x14ac:dyDescent="0.15">
      <c r="A2869" s="10"/>
      <c r="B2869" s="3"/>
      <c r="C2869" s="10"/>
      <c r="D2869" s="10"/>
      <c r="E2869" s="10"/>
      <c r="F2869" s="10"/>
      <c r="G2869" s="10"/>
      <c r="H2869" s="10"/>
      <c r="I2869" s="10"/>
      <c r="J2869" s="10"/>
      <c r="K2869" s="10"/>
      <c r="L2869" s="10"/>
      <c r="M2869" s="10"/>
      <c r="N2869" s="10"/>
      <c r="O2869" s="3"/>
      <c r="P2869" s="10"/>
    </row>
    <row r="2870" spans="1:16" x14ac:dyDescent="0.15">
      <c r="A2870" s="10"/>
      <c r="B2870" s="3"/>
      <c r="C2870" s="10"/>
      <c r="D2870" s="10"/>
      <c r="E2870" s="10"/>
      <c r="F2870" s="10"/>
      <c r="G2870" s="10"/>
      <c r="H2870" s="10"/>
      <c r="I2870" s="10"/>
      <c r="J2870" s="10"/>
      <c r="K2870" s="10"/>
      <c r="L2870" s="10"/>
      <c r="M2870" s="10"/>
      <c r="N2870" s="10"/>
      <c r="O2870" s="3"/>
      <c r="P2870" s="10"/>
    </row>
    <row r="2871" spans="1:16" x14ac:dyDescent="0.15">
      <c r="A2871" s="10"/>
      <c r="B2871" s="3"/>
      <c r="C2871" s="10"/>
      <c r="D2871" s="10"/>
      <c r="E2871" s="10"/>
      <c r="F2871" s="10"/>
      <c r="G2871" s="10"/>
      <c r="H2871" s="10"/>
      <c r="I2871" s="10"/>
      <c r="J2871" s="10"/>
      <c r="K2871" s="10"/>
      <c r="L2871" s="10"/>
      <c r="M2871" s="10"/>
      <c r="N2871" s="10"/>
      <c r="O2871" s="3"/>
      <c r="P2871" s="10"/>
    </row>
    <row r="2872" spans="1:16" x14ac:dyDescent="0.15">
      <c r="A2872" s="10"/>
      <c r="B2872" s="3"/>
      <c r="C2872" s="10"/>
      <c r="D2872" s="10"/>
      <c r="E2872" s="10"/>
      <c r="F2872" s="10"/>
      <c r="G2872" s="10"/>
      <c r="H2872" s="10"/>
      <c r="I2872" s="10"/>
      <c r="J2872" s="10"/>
      <c r="K2872" s="10"/>
      <c r="L2872" s="10"/>
      <c r="M2872" s="10"/>
      <c r="N2872" s="10"/>
      <c r="O2872" s="3"/>
      <c r="P2872" s="10"/>
    </row>
    <row r="2873" spans="1:16" x14ac:dyDescent="0.15">
      <c r="A2873" s="10"/>
      <c r="B2873" s="3"/>
      <c r="C2873" s="10"/>
      <c r="D2873" s="10"/>
      <c r="E2873" s="10"/>
      <c r="F2873" s="10"/>
      <c r="G2873" s="10"/>
      <c r="H2873" s="10"/>
      <c r="I2873" s="10"/>
      <c r="J2873" s="10"/>
      <c r="K2873" s="10"/>
      <c r="L2873" s="10"/>
      <c r="M2873" s="10"/>
      <c r="N2873" s="10"/>
      <c r="O2873" s="3"/>
      <c r="P2873" s="10"/>
    </row>
    <row r="2874" spans="1:16" x14ac:dyDescent="0.15">
      <c r="A2874" s="10"/>
      <c r="B2874" s="3"/>
      <c r="C2874" s="10"/>
      <c r="D2874" s="10"/>
      <c r="E2874" s="10"/>
      <c r="F2874" s="10"/>
      <c r="G2874" s="10"/>
      <c r="H2874" s="10"/>
      <c r="I2874" s="10"/>
      <c r="J2874" s="10"/>
      <c r="K2874" s="10"/>
      <c r="L2874" s="10"/>
      <c r="M2874" s="10"/>
      <c r="N2874" s="10"/>
      <c r="O2874" s="3"/>
      <c r="P2874" s="10"/>
    </row>
    <row r="2875" spans="1:16" x14ac:dyDescent="0.15">
      <c r="A2875" s="10"/>
      <c r="B2875" s="3"/>
      <c r="C2875" s="10"/>
      <c r="D2875" s="10"/>
      <c r="E2875" s="10"/>
      <c r="F2875" s="10"/>
      <c r="G2875" s="10"/>
      <c r="H2875" s="10"/>
      <c r="I2875" s="10"/>
      <c r="J2875" s="10"/>
      <c r="K2875" s="10"/>
      <c r="L2875" s="10"/>
      <c r="M2875" s="10"/>
      <c r="N2875" s="10"/>
      <c r="O2875" s="3"/>
      <c r="P2875" s="10"/>
    </row>
    <row r="2876" spans="1:16" x14ac:dyDescent="0.15">
      <c r="A2876" s="10"/>
      <c r="B2876" s="3"/>
      <c r="C2876" s="10"/>
      <c r="D2876" s="10"/>
      <c r="E2876" s="10"/>
      <c r="F2876" s="10"/>
      <c r="G2876" s="10"/>
      <c r="H2876" s="10"/>
      <c r="I2876" s="10"/>
      <c r="J2876" s="10"/>
      <c r="K2876" s="10"/>
      <c r="L2876" s="10"/>
      <c r="M2876" s="10"/>
      <c r="N2876" s="10"/>
      <c r="O2876" s="3"/>
      <c r="P2876" s="10"/>
    </row>
    <row r="2877" spans="1:16" x14ac:dyDescent="0.15">
      <c r="A2877" s="10"/>
      <c r="B2877" s="3"/>
      <c r="C2877" s="10"/>
      <c r="D2877" s="10"/>
      <c r="E2877" s="10"/>
      <c r="F2877" s="10"/>
      <c r="G2877" s="10"/>
      <c r="H2877" s="10"/>
      <c r="I2877" s="10"/>
      <c r="J2877" s="10"/>
      <c r="K2877" s="10"/>
      <c r="L2877" s="10"/>
      <c r="M2877" s="10"/>
      <c r="N2877" s="10"/>
      <c r="O2877" s="3"/>
      <c r="P2877" s="10"/>
    </row>
    <row r="2878" spans="1:16" x14ac:dyDescent="0.15">
      <c r="A2878" s="10"/>
      <c r="B2878" s="3"/>
      <c r="C2878" s="10"/>
      <c r="D2878" s="10"/>
      <c r="E2878" s="10"/>
      <c r="F2878" s="10"/>
      <c r="G2878" s="10"/>
      <c r="H2878" s="10"/>
      <c r="I2878" s="10"/>
      <c r="J2878" s="10"/>
      <c r="K2878" s="10"/>
      <c r="L2878" s="10"/>
      <c r="M2878" s="10"/>
      <c r="N2878" s="10"/>
      <c r="O2878" s="3"/>
      <c r="P2878" s="10"/>
    </row>
    <row r="2879" spans="1:16" x14ac:dyDescent="0.15">
      <c r="A2879" s="10"/>
      <c r="B2879" s="3"/>
      <c r="C2879" s="10"/>
      <c r="D2879" s="10"/>
      <c r="E2879" s="10"/>
      <c r="F2879" s="10"/>
      <c r="G2879" s="10"/>
      <c r="H2879" s="10"/>
      <c r="I2879" s="10"/>
      <c r="J2879" s="10"/>
      <c r="K2879" s="10"/>
      <c r="L2879" s="10"/>
      <c r="M2879" s="10"/>
      <c r="N2879" s="10"/>
      <c r="O2879" s="3"/>
      <c r="P2879" s="10"/>
    </row>
    <row r="2880" spans="1:16" x14ac:dyDescent="0.15">
      <c r="A2880" s="10"/>
      <c r="B2880" s="3"/>
      <c r="C2880" s="10"/>
      <c r="D2880" s="10"/>
      <c r="E2880" s="10"/>
      <c r="F2880" s="10"/>
      <c r="G2880" s="10"/>
      <c r="H2880" s="10"/>
      <c r="I2880" s="10"/>
      <c r="J2880" s="10"/>
      <c r="K2880" s="10"/>
      <c r="L2880" s="10"/>
      <c r="M2880" s="10"/>
      <c r="N2880" s="10"/>
      <c r="O2880" s="3"/>
      <c r="P2880" s="10"/>
    </row>
    <row r="2881" spans="1:16" x14ac:dyDescent="0.15">
      <c r="A2881" s="10"/>
      <c r="B2881" s="3"/>
      <c r="C2881" s="10"/>
      <c r="D2881" s="10"/>
      <c r="E2881" s="10"/>
      <c r="F2881" s="10"/>
      <c r="G2881" s="10"/>
      <c r="H2881" s="10"/>
      <c r="I2881" s="10"/>
      <c r="J2881" s="10"/>
      <c r="K2881" s="10"/>
      <c r="L2881" s="10"/>
      <c r="M2881" s="10"/>
      <c r="N2881" s="10"/>
      <c r="O2881" s="3"/>
      <c r="P2881" s="10"/>
    </row>
    <row r="2882" spans="1:16" x14ac:dyDescent="0.15">
      <c r="A2882" s="10"/>
      <c r="B2882" s="3"/>
      <c r="C2882" s="10"/>
      <c r="D2882" s="10"/>
      <c r="E2882" s="10"/>
      <c r="F2882" s="10"/>
      <c r="G2882" s="10"/>
      <c r="H2882" s="10"/>
      <c r="I2882" s="10"/>
      <c r="J2882" s="10"/>
      <c r="K2882" s="10"/>
      <c r="L2882" s="10"/>
      <c r="M2882" s="10"/>
      <c r="N2882" s="10"/>
      <c r="O2882" s="3"/>
      <c r="P2882" s="10"/>
    </row>
    <row r="2883" spans="1:16" x14ac:dyDescent="0.15">
      <c r="A2883" s="10"/>
      <c r="B2883" s="3"/>
      <c r="C2883" s="10"/>
      <c r="D2883" s="10"/>
      <c r="E2883" s="10"/>
      <c r="F2883" s="10"/>
      <c r="G2883" s="10"/>
      <c r="H2883" s="10"/>
      <c r="I2883" s="10"/>
      <c r="J2883" s="10"/>
      <c r="K2883" s="10"/>
      <c r="L2883" s="10"/>
      <c r="M2883" s="10"/>
      <c r="N2883" s="10"/>
      <c r="O2883" s="3"/>
      <c r="P2883" s="10"/>
    </row>
    <row r="2884" spans="1:16" x14ac:dyDescent="0.15">
      <c r="A2884" s="10"/>
      <c r="B2884" s="3"/>
      <c r="C2884" s="10"/>
      <c r="D2884" s="10"/>
      <c r="E2884" s="10"/>
      <c r="F2884" s="10"/>
      <c r="G2884" s="10"/>
      <c r="H2884" s="10"/>
      <c r="I2884" s="10"/>
      <c r="J2884" s="10"/>
      <c r="K2884" s="10"/>
      <c r="L2884" s="10"/>
      <c r="M2884" s="10"/>
      <c r="N2884" s="10"/>
      <c r="O2884" s="3"/>
      <c r="P2884" s="10"/>
    </row>
    <row r="2885" spans="1:16" x14ac:dyDescent="0.15">
      <c r="A2885" s="10"/>
      <c r="B2885" s="3"/>
      <c r="C2885" s="10"/>
      <c r="D2885" s="10"/>
      <c r="E2885" s="10"/>
      <c r="F2885" s="10"/>
      <c r="G2885" s="10"/>
      <c r="H2885" s="10"/>
      <c r="I2885" s="10"/>
      <c r="J2885" s="10"/>
      <c r="K2885" s="10"/>
      <c r="L2885" s="10"/>
      <c r="M2885" s="10"/>
      <c r="N2885" s="10"/>
      <c r="O2885" s="3"/>
      <c r="P2885" s="10"/>
    </row>
    <row r="2886" spans="1:16" x14ac:dyDescent="0.15">
      <c r="A2886" s="10"/>
      <c r="B2886" s="3"/>
      <c r="C2886" s="10"/>
      <c r="D2886" s="10"/>
      <c r="E2886" s="10"/>
      <c r="F2886" s="10"/>
      <c r="G2886" s="10"/>
      <c r="H2886" s="10"/>
      <c r="I2886" s="10"/>
      <c r="J2886" s="10"/>
      <c r="K2886" s="10"/>
      <c r="L2886" s="10"/>
      <c r="M2886" s="10"/>
      <c r="N2886" s="10"/>
      <c r="O2886" s="3"/>
      <c r="P2886" s="10"/>
    </row>
    <row r="2887" spans="1:16" x14ac:dyDescent="0.15">
      <c r="A2887" s="10"/>
      <c r="B2887" s="3"/>
      <c r="C2887" s="10"/>
      <c r="D2887" s="10"/>
      <c r="E2887" s="10"/>
      <c r="F2887" s="10"/>
      <c r="G2887" s="10"/>
      <c r="H2887" s="10"/>
      <c r="I2887" s="10"/>
      <c r="J2887" s="10"/>
      <c r="K2887" s="10"/>
      <c r="L2887" s="10"/>
      <c r="M2887" s="10"/>
      <c r="N2887" s="10"/>
      <c r="O2887" s="3"/>
      <c r="P2887" s="10"/>
    </row>
    <row r="2888" spans="1:16" x14ac:dyDescent="0.15">
      <c r="A2888" s="10"/>
      <c r="B2888" s="3"/>
      <c r="C2888" s="10"/>
      <c r="D2888" s="10"/>
      <c r="E2888" s="10"/>
      <c r="F2888" s="10"/>
      <c r="G2888" s="10"/>
      <c r="H2888" s="10"/>
      <c r="I2888" s="10"/>
      <c r="J2888" s="10"/>
      <c r="K2888" s="10"/>
      <c r="L2888" s="10"/>
      <c r="M2888" s="10"/>
      <c r="N2888" s="10"/>
      <c r="O2888" s="3"/>
      <c r="P2888" s="10"/>
    </row>
    <row r="2889" spans="1:16" x14ac:dyDescent="0.15">
      <c r="A2889" s="10"/>
      <c r="B2889" s="3"/>
      <c r="C2889" s="10"/>
      <c r="D2889" s="10"/>
      <c r="E2889" s="10"/>
      <c r="F2889" s="10"/>
      <c r="G2889" s="10"/>
      <c r="H2889" s="10"/>
      <c r="I2889" s="10"/>
      <c r="J2889" s="10"/>
      <c r="K2889" s="10"/>
      <c r="L2889" s="10"/>
      <c r="M2889" s="10"/>
      <c r="N2889" s="10"/>
      <c r="O2889" s="3"/>
      <c r="P2889" s="10"/>
    </row>
    <row r="2890" spans="1:16" x14ac:dyDescent="0.15">
      <c r="A2890" s="10"/>
      <c r="B2890" s="3"/>
      <c r="C2890" s="10"/>
      <c r="D2890" s="10"/>
      <c r="E2890" s="10"/>
      <c r="F2890" s="10"/>
      <c r="G2890" s="10"/>
      <c r="H2890" s="10"/>
      <c r="I2890" s="10"/>
      <c r="J2890" s="10"/>
      <c r="K2890" s="10"/>
      <c r="L2890" s="10"/>
      <c r="M2890" s="10"/>
      <c r="N2890" s="10"/>
      <c r="O2890" s="3"/>
      <c r="P2890" s="10"/>
    </row>
    <row r="2891" spans="1:16" x14ac:dyDescent="0.15">
      <c r="A2891" s="10"/>
      <c r="B2891" s="3"/>
      <c r="C2891" s="10"/>
      <c r="D2891" s="10"/>
      <c r="E2891" s="10"/>
      <c r="F2891" s="10"/>
      <c r="G2891" s="10"/>
      <c r="H2891" s="10"/>
      <c r="I2891" s="10"/>
      <c r="J2891" s="10"/>
      <c r="K2891" s="10"/>
      <c r="L2891" s="10"/>
      <c r="M2891" s="10"/>
      <c r="N2891" s="10"/>
      <c r="O2891" s="3"/>
      <c r="P2891" s="10"/>
    </row>
    <row r="2892" spans="1:16" x14ac:dyDescent="0.15">
      <c r="A2892" s="10"/>
      <c r="B2892" s="3"/>
      <c r="C2892" s="10"/>
      <c r="D2892" s="10"/>
      <c r="E2892" s="10"/>
      <c r="F2892" s="10"/>
      <c r="G2892" s="10"/>
      <c r="H2892" s="10"/>
      <c r="I2892" s="10"/>
      <c r="J2892" s="10"/>
      <c r="K2892" s="10"/>
      <c r="L2892" s="10"/>
      <c r="M2892" s="10"/>
      <c r="N2892" s="10"/>
      <c r="O2892" s="3"/>
      <c r="P2892" s="10"/>
    </row>
    <row r="2893" spans="1:16" x14ac:dyDescent="0.15">
      <c r="A2893" s="10"/>
      <c r="B2893" s="3"/>
      <c r="C2893" s="10"/>
      <c r="D2893" s="10"/>
      <c r="E2893" s="10"/>
      <c r="F2893" s="10"/>
      <c r="G2893" s="10"/>
      <c r="H2893" s="10"/>
      <c r="I2893" s="10"/>
      <c r="J2893" s="10"/>
      <c r="K2893" s="10"/>
      <c r="L2893" s="10"/>
      <c r="M2893" s="10"/>
      <c r="N2893" s="10"/>
      <c r="O2893" s="3"/>
      <c r="P2893" s="10"/>
    </row>
    <row r="2894" spans="1:16" x14ac:dyDescent="0.15">
      <c r="A2894" s="10"/>
      <c r="B2894" s="3"/>
      <c r="C2894" s="10"/>
      <c r="D2894" s="10"/>
      <c r="E2894" s="10"/>
      <c r="F2894" s="10"/>
      <c r="G2894" s="10"/>
      <c r="H2894" s="10"/>
      <c r="I2894" s="10"/>
      <c r="J2894" s="10"/>
      <c r="K2894" s="10"/>
      <c r="L2894" s="10"/>
      <c r="M2894" s="10"/>
      <c r="N2894" s="10"/>
      <c r="O2894" s="3"/>
      <c r="P2894" s="10"/>
    </row>
    <row r="2895" spans="1:16" x14ac:dyDescent="0.15">
      <c r="A2895" s="10"/>
      <c r="B2895" s="3"/>
      <c r="C2895" s="10"/>
      <c r="D2895" s="10"/>
      <c r="E2895" s="10"/>
      <c r="F2895" s="10"/>
      <c r="G2895" s="10"/>
      <c r="H2895" s="10"/>
      <c r="I2895" s="10"/>
      <c r="J2895" s="10"/>
      <c r="K2895" s="10"/>
      <c r="L2895" s="10"/>
      <c r="M2895" s="10"/>
      <c r="N2895" s="10"/>
      <c r="O2895" s="3"/>
      <c r="P2895" s="10"/>
    </row>
    <row r="2896" spans="1:16" x14ac:dyDescent="0.15">
      <c r="A2896" s="10"/>
      <c r="B2896" s="3"/>
      <c r="C2896" s="10"/>
      <c r="D2896" s="10"/>
      <c r="E2896" s="10"/>
      <c r="F2896" s="10"/>
      <c r="G2896" s="10"/>
      <c r="H2896" s="10"/>
      <c r="I2896" s="10"/>
      <c r="J2896" s="10"/>
      <c r="K2896" s="10"/>
      <c r="L2896" s="10"/>
      <c r="M2896" s="10"/>
      <c r="N2896" s="10"/>
      <c r="O2896" s="3"/>
      <c r="P2896" s="10"/>
    </row>
    <row r="2897" spans="1:16" x14ac:dyDescent="0.15">
      <c r="A2897" s="10"/>
      <c r="B2897" s="3"/>
      <c r="C2897" s="10"/>
      <c r="D2897" s="10"/>
      <c r="E2897" s="10"/>
      <c r="F2897" s="10"/>
      <c r="G2897" s="10"/>
      <c r="H2897" s="10"/>
      <c r="I2897" s="10"/>
      <c r="J2897" s="10"/>
      <c r="K2897" s="10"/>
      <c r="L2897" s="10"/>
      <c r="M2897" s="10"/>
      <c r="N2897" s="10"/>
      <c r="O2897" s="3"/>
      <c r="P2897" s="10"/>
    </row>
    <row r="2898" spans="1:16" x14ac:dyDescent="0.15">
      <c r="A2898" s="10"/>
      <c r="B2898" s="3"/>
      <c r="C2898" s="10"/>
      <c r="D2898" s="10"/>
      <c r="E2898" s="10"/>
      <c r="F2898" s="10"/>
      <c r="G2898" s="10"/>
      <c r="H2898" s="10"/>
      <c r="I2898" s="10"/>
      <c r="J2898" s="10"/>
      <c r="K2898" s="10"/>
      <c r="L2898" s="10"/>
      <c r="M2898" s="10"/>
      <c r="N2898" s="10"/>
      <c r="O2898" s="3"/>
      <c r="P2898" s="10"/>
    </row>
    <row r="2899" spans="1:16" x14ac:dyDescent="0.15">
      <c r="A2899" s="10"/>
      <c r="B2899" s="3"/>
      <c r="C2899" s="10"/>
      <c r="D2899" s="10"/>
      <c r="E2899" s="10"/>
      <c r="F2899" s="10"/>
      <c r="G2899" s="10"/>
      <c r="H2899" s="10"/>
      <c r="I2899" s="10"/>
      <c r="J2899" s="10"/>
      <c r="K2899" s="10"/>
      <c r="L2899" s="10"/>
      <c r="M2899" s="10"/>
      <c r="N2899" s="10"/>
      <c r="O2899" s="3"/>
      <c r="P2899" s="10"/>
    </row>
    <row r="2900" spans="1:16" x14ac:dyDescent="0.15">
      <c r="A2900" s="10"/>
      <c r="B2900" s="3"/>
      <c r="C2900" s="10"/>
      <c r="D2900" s="10"/>
      <c r="E2900" s="10"/>
      <c r="F2900" s="10"/>
      <c r="G2900" s="10"/>
      <c r="H2900" s="10"/>
      <c r="I2900" s="10"/>
      <c r="J2900" s="10"/>
      <c r="K2900" s="10"/>
      <c r="L2900" s="10"/>
      <c r="M2900" s="10"/>
      <c r="N2900" s="10"/>
      <c r="O2900" s="3"/>
      <c r="P2900" s="10"/>
    </row>
    <row r="2901" spans="1:16" x14ac:dyDescent="0.15">
      <c r="A2901" s="10"/>
      <c r="B2901" s="3"/>
      <c r="C2901" s="10"/>
      <c r="D2901" s="10"/>
      <c r="E2901" s="10"/>
      <c r="F2901" s="10"/>
      <c r="G2901" s="10"/>
      <c r="H2901" s="10"/>
      <c r="I2901" s="10"/>
      <c r="J2901" s="10"/>
      <c r="K2901" s="10"/>
      <c r="L2901" s="10"/>
      <c r="M2901" s="10"/>
      <c r="N2901" s="10"/>
      <c r="O2901" s="3"/>
      <c r="P2901" s="10"/>
    </row>
    <row r="2902" spans="1:16" x14ac:dyDescent="0.15">
      <c r="A2902" s="10"/>
      <c r="B2902" s="3"/>
      <c r="C2902" s="10"/>
      <c r="D2902" s="10"/>
      <c r="E2902" s="10"/>
      <c r="F2902" s="10"/>
      <c r="G2902" s="10"/>
      <c r="H2902" s="10"/>
      <c r="I2902" s="10"/>
      <c r="J2902" s="10"/>
      <c r="K2902" s="10"/>
      <c r="L2902" s="10"/>
      <c r="M2902" s="10"/>
      <c r="N2902" s="10"/>
      <c r="O2902" s="3"/>
      <c r="P2902" s="10"/>
    </row>
    <row r="2903" spans="1:16" x14ac:dyDescent="0.15">
      <c r="A2903" s="10"/>
      <c r="B2903" s="3"/>
      <c r="C2903" s="10"/>
      <c r="D2903" s="10"/>
      <c r="E2903" s="10"/>
      <c r="F2903" s="10"/>
      <c r="G2903" s="10"/>
      <c r="H2903" s="10"/>
      <c r="I2903" s="10"/>
      <c r="J2903" s="10"/>
      <c r="K2903" s="10"/>
      <c r="L2903" s="10"/>
      <c r="M2903" s="10"/>
      <c r="N2903" s="10"/>
      <c r="O2903" s="3"/>
      <c r="P2903" s="10"/>
    </row>
    <row r="2904" spans="1:16" x14ac:dyDescent="0.15">
      <c r="A2904" s="10"/>
      <c r="B2904" s="3"/>
      <c r="C2904" s="10"/>
      <c r="D2904" s="10"/>
      <c r="E2904" s="10"/>
      <c r="F2904" s="10"/>
      <c r="G2904" s="10"/>
      <c r="H2904" s="10"/>
      <c r="I2904" s="10"/>
      <c r="J2904" s="10"/>
      <c r="K2904" s="10"/>
      <c r="L2904" s="10"/>
      <c r="M2904" s="10"/>
      <c r="N2904" s="10"/>
      <c r="O2904" s="3"/>
      <c r="P2904" s="10"/>
    </row>
    <row r="2905" spans="1:16" x14ac:dyDescent="0.15">
      <c r="A2905" s="10"/>
      <c r="B2905" s="3"/>
      <c r="C2905" s="10"/>
      <c r="D2905" s="10"/>
      <c r="E2905" s="10"/>
      <c r="F2905" s="10"/>
      <c r="G2905" s="10"/>
      <c r="H2905" s="10"/>
      <c r="I2905" s="10"/>
      <c r="J2905" s="10"/>
      <c r="K2905" s="10"/>
      <c r="L2905" s="10"/>
      <c r="M2905" s="10"/>
      <c r="N2905" s="10"/>
      <c r="O2905" s="3"/>
      <c r="P2905" s="10"/>
    </row>
    <row r="2906" spans="1:16" x14ac:dyDescent="0.15">
      <c r="A2906" s="10"/>
      <c r="B2906" s="3"/>
      <c r="C2906" s="10"/>
      <c r="D2906" s="10"/>
      <c r="E2906" s="10"/>
      <c r="F2906" s="10"/>
      <c r="G2906" s="10"/>
      <c r="H2906" s="10"/>
      <c r="I2906" s="10"/>
      <c r="J2906" s="10"/>
      <c r="K2906" s="10"/>
      <c r="L2906" s="10"/>
      <c r="M2906" s="10"/>
      <c r="N2906" s="10"/>
      <c r="O2906" s="3"/>
      <c r="P2906" s="10"/>
    </row>
    <row r="2907" spans="1:16" x14ac:dyDescent="0.15">
      <c r="A2907" s="10"/>
      <c r="B2907" s="3"/>
      <c r="C2907" s="10"/>
      <c r="D2907" s="10"/>
      <c r="E2907" s="10"/>
      <c r="F2907" s="10"/>
      <c r="G2907" s="10"/>
      <c r="H2907" s="10"/>
      <c r="I2907" s="10"/>
      <c r="J2907" s="10"/>
      <c r="K2907" s="10"/>
      <c r="L2907" s="10"/>
      <c r="M2907" s="10"/>
      <c r="N2907" s="10"/>
      <c r="O2907" s="3"/>
      <c r="P2907" s="10"/>
    </row>
    <row r="2908" spans="1:16" x14ac:dyDescent="0.15">
      <c r="A2908" s="10"/>
      <c r="B2908" s="3"/>
      <c r="C2908" s="10"/>
      <c r="D2908" s="10"/>
      <c r="E2908" s="10"/>
      <c r="F2908" s="10"/>
      <c r="G2908" s="10"/>
      <c r="H2908" s="10"/>
      <c r="I2908" s="10"/>
      <c r="J2908" s="10"/>
      <c r="K2908" s="10"/>
      <c r="L2908" s="10"/>
      <c r="M2908" s="10"/>
      <c r="N2908" s="10"/>
      <c r="O2908" s="3"/>
      <c r="P2908" s="10"/>
    </row>
    <row r="2909" spans="1:16" x14ac:dyDescent="0.15">
      <c r="A2909" s="10"/>
      <c r="B2909" s="3"/>
      <c r="C2909" s="10"/>
      <c r="D2909" s="10"/>
      <c r="E2909" s="10"/>
      <c r="F2909" s="10"/>
      <c r="G2909" s="10"/>
      <c r="H2909" s="10"/>
      <c r="I2909" s="10"/>
      <c r="J2909" s="10"/>
      <c r="K2909" s="10"/>
      <c r="L2909" s="10"/>
      <c r="M2909" s="10"/>
      <c r="N2909" s="10"/>
      <c r="O2909" s="3"/>
      <c r="P2909" s="10"/>
    </row>
    <row r="2910" spans="1:16" x14ac:dyDescent="0.15">
      <c r="A2910" s="10"/>
      <c r="B2910" s="3"/>
      <c r="C2910" s="10"/>
      <c r="D2910" s="10"/>
      <c r="E2910" s="10"/>
      <c r="F2910" s="10"/>
      <c r="G2910" s="10"/>
      <c r="H2910" s="10"/>
      <c r="I2910" s="10"/>
      <c r="J2910" s="10"/>
      <c r="K2910" s="10"/>
      <c r="L2910" s="10"/>
      <c r="M2910" s="10"/>
      <c r="N2910" s="10"/>
      <c r="O2910" s="3"/>
      <c r="P2910" s="10"/>
    </row>
    <row r="2911" spans="1:16" x14ac:dyDescent="0.15">
      <c r="A2911" s="10"/>
      <c r="B2911" s="3"/>
      <c r="C2911" s="10"/>
      <c r="D2911" s="10"/>
      <c r="E2911" s="10"/>
      <c r="F2911" s="10"/>
      <c r="G2911" s="10"/>
      <c r="H2911" s="10"/>
      <c r="I2911" s="10"/>
      <c r="J2911" s="10"/>
      <c r="K2911" s="10"/>
      <c r="L2911" s="10"/>
      <c r="M2911" s="10"/>
      <c r="N2911" s="10"/>
      <c r="O2911" s="3"/>
      <c r="P2911" s="10"/>
    </row>
    <row r="2912" spans="1:16" x14ac:dyDescent="0.15">
      <c r="A2912" s="10"/>
      <c r="B2912" s="3"/>
      <c r="C2912" s="10"/>
      <c r="D2912" s="10"/>
      <c r="E2912" s="10"/>
      <c r="F2912" s="10"/>
      <c r="G2912" s="10"/>
      <c r="H2912" s="10"/>
      <c r="I2912" s="10"/>
      <c r="J2912" s="10"/>
      <c r="K2912" s="10"/>
      <c r="L2912" s="10"/>
      <c r="M2912" s="10"/>
      <c r="N2912" s="10"/>
      <c r="O2912" s="3"/>
      <c r="P2912" s="10"/>
    </row>
    <row r="2913" spans="1:16" x14ac:dyDescent="0.15">
      <c r="A2913" s="10"/>
      <c r="B2913" s="3"/>
      <c r="C2913" s="10"/>
      <c r="D2913" s="10"/>
      <c r="E2913" s="10"/>
      <c r="F2913" s="10"/>
      <c r="G2913" s="10"/>
      <c r="H2913" s="10"/>
      <c r="I2913" s="10"/>
      <c r="J2913" s="10"/>
      <c r="K2913" s="10"/>
      <c r="L2913" s="10"/>
      <c r="M2913" s="10"/>
      <c r="N2913" s="10"/>
      <c r="O2913" s="3"/>
      <c r="P2913" s="10"/>
    </row>
    <row r="2914" spans="1:16" x14ac:dyDescent="0.15">
      <c r="A2914" s="10"/>
      <c r="B2914" s="3"/>
      <c r="C2914" s="10"/>
      <c r="D2914" s="10"/>
      <c r="E2914" s="10"/>
      <c r="F2914" s="10"/>
      <c r="G2914" s="10"/>
      <c r="H2914" s="10"/>
      <c r="I2914" s="10"/>
      <c r="J2914" s="10"/>
      <c r="K2914" s="10"/>
      <c r="L2914" s="10"/>
      <c r="M2914" s="10"/>
      <c r="N2914" s="10"/>
      <c r="O2914" s="3"/>
      <c r="P2914" s="10"/>
    </row>
    <row r="2915" spans="1:16" x14ac:dyDescent="0.15">
      <c r="A2915" s="10"/>
      <c r="B2915" s="3"/>
      <c r="C2915" s="10"/>
      <c r="D2915" s="10"/>
      <c r="E2915" s="10"/>
      <c r="F2915" s="10"/>
      <c r="G2915" s="10"/>
      <c r="H2915" s="10"/>
      <c r="I2915" s="10"/>
      <c r="J2915" s="10"/>
      <c r="K2915" s="10"/>
      <c r="L2915" s="10"/>
      <c r="M2915" s="10"/>
      <c r="N2915" s="10"/>
      <c r="O2915" s="3"/>
      <c r="P2915" s="10"/>
    </row>
    <row r="2916" spans="1:16" x14ac:dyDescent="0.15">
      <c r="A2916" s="10"/>
      <c r="B2916" s="3"/>
      <c r="C2916" s="10"/>
      <c r="D2916" s="10"/>
      <c r="E2916" s="10"/>
      <c r="F2916" s="10"/>
      <c r="G2916" s="10"/>
      <c r="H2916" s="10"/>
      <c r="I2916" s="10"/>
      <c r="J2916" s="10"/>
      <c r="K2916" s="10"/>
      <c r="L2916" s="10"/>
      <c r="M2916" s="10"/>
      <c r="N2916" s="10"/>
      <c r="O2916" s="3"/>
      <c r="P2916" s="10"/>
    </row>
    <row r="2917" spans="1:16" x14ac:dyDescent="0.15">
      <c r="A2917" s="10"/>
      <c r="B2917" s="3"/>
      <c r="C2917" s="10"/>
      <c r="D2917" s="10"/>
      <c r="E2917" s="10"/>
      <c r="F2917" s="10"/>
      <c r="G2917" s="10"/>
      <c r="H2917" s="10"/>
      <c r="I2917" s="10"/>
      <c r="J2917" s="10"/>
      <c r="K2917" s="10"/>
      <c r="L2917" s="10"/>
      <c r="M2917" s="10"/>
      <c r="N2917" s="10"/>
      <c r="O2917" s="3"/>
      <c r="P2917" s="10"/>
    </row>
    <row r="2918" spans="1:16" x14ac:dyDescent="0.15">
      <c r="A2918" s="10"/>
      <c r="B2918" s="3"/>
      <c r="C2918" s="10"/>
      <c r="D2918" s="10"/>
      <c r="E2918" s="10"/>
      <c r="F2918" s="10"/>
      <c r="G2918" s="10"/>
      <c r="H2918" s="10"/>
      <c r="I2918" s="10"/>
      <c r="J2918" s="10"/>
      <c r="K2918" s="10"/>
      <c r="L2918" s="10"/>
      <c r="M2918" s="10"/>
      <c r="N2918" s="10"/>
      <c r="O2918" s="3"/>
      <c r="P2918" s="10"/>
    </row>
    <row r="2919" spans="1:16" x14ac:dyDescent="0.15">
      <c r="A2919" s="10"/>
      <c r="B2919" s="3"/>
      <c r="C2919" s="10"/>
      <c r="D2919" s="10"/>
      <c r="E2919" s="10"/>
      <c r="F2919" s="10"/>
      <c r="G2919" s="10"/>
      <c r="H2919" s="10"/>
      <c r="I2919" s="10"/>
      <c r="J2919" s="10"/>
      <c r="K2919" s="10"/>
      <c r="L2919" s="10"/>
      <c r="M2919" s="10"/>
      <c r="N2919" s="10"/>
      <c r="O2919" s="3"/>
      <c r="P2919" s="10"/>
    </row>
    <row r="2920" spans="1:16" x14ac:dyDescent="0.15">
      <c r="A2920" s="10"/>
      <c r="B2920" s="3"/>
      <c r="C2920" s="10"/>
      <c r="D2920" s="10"/>
      <c r="E2920" s="10"/>
      <c r="F2920" s="10"/>
      <c r="G2920" s="10"/>
      <c r="H2920" s="10"/>
      <c r="I2920" s="10"/>
      <c r="J2920" s="10"/>
      <c r="K2920" s="10"/>
      <c r="L2920" s="10"/>
      <c r="M2920" s="10"/>
      <c r="N2920" s="10"/>
      <c r="O2920" s="3"/>
      <c r="P2920" s="10"/>
    </row>
    <row r="2921" spans="1:16" x14ac:dyDescent="0.15">
      <c r="A2921" s="10"/>
      <c r="B2921" s="3"/>
      <c r="C2921" s="10"/>
      <c r="D2921" s="10"/>
      <c r="E2921" s="10"/>
      <c r="F2921" s="10"/>
      <c r="G2921" s="10"/>
      <c r="H2921" s="10"/>
      <c r="I2921" s="10"/>
      <c r="J2921" s="10"/>
      <c r="K2921" s="10"/>
      <c r="L2921" s="10"/>
      <c r="M2921" s="10"/>
      <c r="N2921" s="10"/>
      <c r="O2921" s="3"/>
      <c r="P2921" s="10"/>
    </row>
    <row r="2922" spans="1:16" x14ac:dyDescent="0.15">
      <c r="A2922" s="10"/>
      <c r="B2922" s="3"/>
      <c r="C2922" s="10"/>
      <c r="D2922" s="10"/>
      <c r="E2922" s="10"/>
      <c r="F2922" s="10"/>
      <c r="G2922" s="10"/>
      <c r="H2922" s="10"/>
      <c r="I2922" s="10"/>
      <c r="J2922" s="10"/>
      <c r="K2922" s="10"/>
      <c r="L2922" s="10"/>
      <c r="M2922" s="10"/>
      <c r="N2922" s="10"/>
      <c r="O2922" s="3"/>
      <c r="P2922" s="10"/>
    </row>
    <row r="2923" spans="1:16" x14ac:dyDescent="0.15">
      <c r="A2923" s="10"/>
      <c r="B2923" s="3"/>
      <c r="C2923" s="10"/>
      <c r="D2923" s="10"/>
      <c r="E2923" s="10"/>
      <c r="F2923" s="10"/>
      <c r="G2923" s="10"/>
      <c r="H2923" s="10"/>
      <c r="I2923" s="10"/>
      <c r="J2923" s="10"/>
      <c r="K2923" s="10"/>
      <c r="L2923" s="10"/>
      <c r="M2923" s="10"/>
      <c r="N2923" s="10"/>
      <c r="O2923" s="3"/>
      <c r="P2923" s="10"/>
    </row>
    <row r="2924" spans="1:16" x14ac:dyDescent="0.15">
      <c r="A2924" s="10"/>
      <c r="B2924" s="3"/>
      <c r="C2924" s="10"/>
      <c r="D2924" s="10"/>
      <c r="E2924" s="10"/>
      <c r="F2924" s="10"/>
      <c r="G2924" s="10"/>
      <c r="H2924" s="10"/>
      <c r="I2924" s="10"/>
      <c r="J2924" s="10"/>
      <c r="K2924" s="10"/>
      <c r="L2924" s="10"/>
      <c r="M2924" s="10"/>
      <c r="N2924" s="10"/>
      <c r="O2924" s="3"/>
      <c r="P2924" s="10"/>
    </row>
    <row r="2925" spans="1:16" x14ac:dyDescent="0.15">
      <c r="A2925" s="10"/>
      <c r="B2925" s="3"/>
      <c r="C2925" s="10"/>
      <c r="D2925" s="10"/>
      <c r="E2925" s="10"/>
      <c r="F2925" s="10"/>
      <c r="G2925" s="10"/>
      <c r="H2925" s="10"/>
      <c r="I2925" s="10"/>
      <c r="J2925" s="10"/>
      <c r="K2925" s="10"/>
      <c r="L2925" s="10"/>
      <c r="M2925" s="10"/>
      <c r="N2925" s="10"/>
      <c r="O2925" s="3"/>
      <c r="P2925" s="10"/>
    </row>
    <row r="2926" spans="1:16" x14ac:dyDescent="0.15">
      <c r="A2926" s="10"/>
      <c r="B2926" s="3"/>
      <c r="C2926" s="10"/>
      <c r="D2926" s="10"/>
      <c r="E2926" s="10"/>
      <c r="F2926" s="10"/>
      <c r="G2926" s="10"/>
      <c r="H2926" s="10"/>
      <c r="I2926" s="10"/>
      <c r="J2926" s="10"/>
      <c r="K2926" s="10"/>
      <c r="L2926" s="10"/>
      <c r="M2926" s="10"/>
      <c r="N2926" s="10"/>
      <c r="O2926" s="3"/>
      <c r="P2926" s="10"/>
    </row>
    <row r="2927" spans="1:16" x14ac:dyDescent="0.15">
      <c r="A2927" s="10"/>
      <c r="B2927" s="3"/>
      <c r="C2927" s="10"/>
      <c r="D2927" s="10"/>
      <c r="E2927" s="10"/>
      <c r="F2927" s="10"/>
      <c r="G2927" s="10"/>
      <c r="H2927" s="10"/>
      <c r="I2927" s="10"/>
      <c r="J2927" s="10"/>
      <c r="K2927" s="10"/>
      <c r="L2927" s="10"/>
      <c r="M2927" s="10"/>
      <c r="N2927" s="10"/>
      <c r="O2927" s="3"/>
      <c r="P2927" s="10"/>
    </row>
    <row r="2928" spans="1:16" x14ac:dyDescent="0.15">
      <c r="A2928" s="10"/>
      <c r="B2928" s="3"/>
      <c r="C2928" s="10"/>
      <c r="D2928" s="10"/>
      <c r="E2928" s="10"/>
      <c r="F2928" s="10"/>
      <c r="G2928" s="10"/>
      <c r="H2928" s="10"/>
      <c r="I2928" s="10"/>
      <c r="J2928" s="10"/>
      <c r="K2928" s="10"/>
      <c r="L2928" s="10"/>
      <c r="M2928" s="10"/>
      <c r="N2928" s="10"/>
      <c r="O2928" s="3"/>
      <c r="P2928" s="10"/>
    </row>
    <row r="2929" spans="1:16" x14ac:dyDescent="0.15">
      <c r="A2929" s="10"/>
      <c r="B2929" s="3"/>
      <c r="C2929" s="10"/>
      <c r="D2929" s="10"/>
      <c r="E2929" s="10"/>
      <c r="F2929" s="10"/>
      <c r="G2929" s="10"/>
      <c r="H2929" s="10"/>
      <c r="I2929" s="10"/>
      <c r="J2929" s="10"/>
      <c r="K2929" s="10"/>
      <c r="L2929" s="10"/>
      <c r="M2929" s="10"/>
      <c r="N2929" s="10"/>
      <c r="O2929" s="3"/>
      <c r="P2929" s="10"/>
    </row>
    <row r="2930" spans="1:16" x14ac:dyDescent="0.15">
      <c r="A2930" s="10"/>
      <c r="B2930" s="3"/>
      <c r="C2930" s="10"/>
      <c r="D2930" s="10"/>
      <c r="E2930" s="10"/>
      <c r="F2930" s="10"/>
      <c r="G2930" s="10"/>
      <c r="H2930" s="10"/>
      <c r="I2930" s="10"/>
      <c r="J2930" s="10"/>
      <c r="K2930" s="10"/>
      <c r="L2930" s="10"/>
      <c r="M2930" s="10"/>
      <c r="N2930" s="10"/>
      <c r="O2930" s="3"/>
      <c r="P2930" s="10"/>
    </row>
    <row r="2931" spans="1:16" x14ac:dyDescent="0.15">
      <c r="A2931" s="10"/>
      <c r="B2931" s="3"/>
      <c r="C2931" s="10"/>
      <c r="D2931" s="10"/>
      <c r="E2931" s="10"/>
      <c r="F2931" s="10"/>
      <c r="G2931" s="10"/>
      <c r="H2931" s="10"/>
      <c r="I2931" s="10"/>
      <c r="J2931" s="10"/>
      <c r="K2931" s="10"/>
      <c r="L2931" s="10"/>
      <c r="M2931" s="10"/>
      <c r="N2931" s="10"/>
      <c r="O2931" s="3"/>
      <c r="P2931" s="10"/>
    </row>
    <row r="2932" spans="1:16" x14ac:dyDescent="0.15">
      <c r="A2932" s="10"/>
      <c r="B2932" s="3"/>
      <c r="C2932" s="10"/>
      <c r="D2932" s="10"/>
      <c r="E2932" s="10"/>
      <c r="F2932" s="10"/>
      <c r="G2932" s="10"/>
      <c r="H2932" s="10"/>
      <c r="I2932" s="10"/>
      <c r="J2932" s="10"/>
      <c r="K2932" s="10"/>
      <c r="L2932" s="10"/>
      <c r="M2932" s="10"/>
      <c r="N2932" s="10"/>
      <c r="O2932" s="3"/>
      <c r="P2932" s="10"/>
    </row>
    <row r="2933" spans="1:16" x14ac:dyDescent="0.15">
      <c r="A2933" s="10"/>
      <c r="B2933" s="3"/>
      <c r="C2933" s="10"/>
      <c r="D2933" s="10"/>
      <c r="E2933" s="10"/>
      <c r="F2933" s="10"/>
      <c r="G2933" s="10"/>
      <c r="H2933" s="10"/>
      <c r="I2933" s="10"/>
      <c r="J2933" s="10"/>
      <c r="K2933" s="10"/>
      <c r="L2933" s="10"/>
      <c r="M2933" s="10"/>
      <c r="N2933" s="10"/>
      <c r="O2933" s="3"/>
      <c r="P2933" s="10"/>
    </row>
    <row r="2934" spans="1:16" x14ac:dyDescent="0.15">
      <c r="A2934" s="10"/>
      <c r="B2934" s="3"/>
      <c r="C2934" s="10"/>
      <c r="D2934" s="10"/>
      <c r="E2934" s="10"/>
      <c r="F2934" s="10"/>
      <c r="G2934" s="10"/>
      <c r="H2934" s="10"/>
      <c r="I2934" s="10"/>
      <c r="J2934" s="10"/>
      <c r="K2934" s="10"/>
      <c r="L2934" s="10"/>
      <c r="M2934" s="10"/>
      <c r="N2934" s="10"/>
      <c r="O2934" s="3"/>
      <c r="P2934" s="10"/>
    </row>
    <row r="2935" spans="1:16" x14ac:dyDescent="0.15">
      <c r="A2935" s="10"/>
      <c r="B2935" s="3"/>
      <c r="C2935" s="10"/>
      <c r="D2935" s="10"/>
      <c r="E2935" s="10"/>
      <c r="F2935" s="10"/>
      <c r="G2935" s="10"/>
      <c r="H2935" s="10"/>
      <c r="I2935" s="10"/>
      <c r="J2935" s="10"/>
      <c r="K2935" s="10"/>
      <c r="L2935" s="10"/>
      <c r="M2935" s="10"/>
      <c r="N2935" s="10"/>
      <c r="O2935" s="3"/>
      <c r="P2935" s="10"/>
    </row>
    <row r="2936" spans="1:16" x14ac:dyDescent="0.15">
      <c r="A2936" s="10"/>
      <c r="B2936" s="3"/>
      <c r="C2936" s="10"/>
      <c r="D2936" s="10"/>
      <c r="E2936" s="10"/>
      <c r="F2936" s="10"/>
      <c r="G2936" s="10"/>
      <c r="H2936" s="10"/>
      <c r="I2936" s="10"/>
      <c r="J2936" s="10"/>
      <c r="K2936" s="10"/>
      <c r="L2936" s="10"/>
      <c r="M2936" s="10"/>
      <c r="N2936" s="10"/>
      <c r="O2936" s="3"/>
      <c r="P2936" s="10"/>
    </row>
    <row r="2937" spans="1:16" x14ac:dyDescent="0.15">
      <c r="A2937" s="10"/>
      <c r="B2937" s="3"/>
      <c r="C2937" s="10"/>
      <c r="D2937" s="10"/>
      <c r="E2937" s="10"/>
      <c r="F2937" s="10"/>
      <c r="G2937" s="10"/>
      <c r="H2937" s="10"/>
      <c r="I2937" s="10"/>
      <c r="J2937" s="10"/>
      <c r="K2937" s="10"/>
      <c r="L2937" s="10"/>
      <c r="M2937" s="10"/>
      <c r="N2937" s="10"/>
      <c r="O2937" s="3"/>
      <c r="P2937" s="10"/>
    </row>
    <row r="2938" spans="1:16" x14ac:dyDescent="0.15">
      <c r="A2938" s="10"/>
      <c r="B2938" s="3"/>
      <c r="C2938" s="10"/>
      <c r="D2938" s="10"/>
      <c r="E2938" s="10"/>
      <c r="F2938" s="10"/>
      <c r="G2938" s="10"/>
      <c r="H2938" s="10"/>
      <c r="I2938" s="10"/>
      <c r="J2938" s="10"/>
      <c r="K2938" s="10"/>
      <c r="L2938" s="10"/>
      <c r="M2938" s="10"/>
      <c r="N2938" s="10"/>
      <c r="O2938" s="3"/>
      <c r="P2938" s="10"/>
    </row>
    <row r="2939" spans="1:16" x14ac:dyDescent="0.15">
      <c r="A2939" s="10"/>
      <c r="B2939" s="3"/>
      <c r="C2939" s="10"/>
      <c r="D2939" s="10"/>
      <c r="E2939" s="10"/>
      <c r="F2939" s="10"/>
      <c r="G2939" s="10"/>
      <c r="H2939" s="10"/>
      <c r="I2939" s="10"/>
      <c r="J2939" s="10"/>
      <c r="K2939" s="10"/>
      <c r="L2939" s="10"/>
      <c r="M2939" s="10"/>
      <c r="N2939" s="10"/>
      <c r="O2939" s="3"/>
      <c r="P2939" s="10"/>
    </row>
    <row r="2940" spans="1:16" x14ac:dyDescent="0.15">
      <c r="A2940" s="10"/>
      <c r="B2940" s="3"/>
      <c r="C2940" s="10"/>
      <c r="D2940" s="10"/>
      <c r="E2940" s="10"/>
      <c r="F2940" s="10"/>
      <c r="G2940" s="10"/>
      <c r="H2940" s="10"/>
      <c r="I2940" s="10"/>
      <c r="J2940" s="10"/>
      <c r="K2940" s="10"/>
      <c r="L2940" s="10"/>
      <c r="M2940" s="10"/>
      <c r="N2940" s="10"/>
      <c r="O2940" s="3"/>
      <c r="P2940" s="10"/>
    </row>
    <row r="2941" spans="1:16" x14ac:dyDescent="0.15">
      <c r="A2941" s="10"/>
      <c r="B2941" s="3"/>
      <c r="C2941" s="10"/>
      <c r="D2941" s="10"/>
      <c r="E2941" s="10"/>
      <c r="F2941" s="10"/>
      <c r="G2941" s="10"/>
      <c r="H2941" s="10"/>
      <c r="I2941" s="10"/>
      <c r="J2941" s="10"/>
      <c r="K2941" s="10"/>
      <c r="L2941" s="10"/>
      <c r="M2941" s="10"/>
      <c r="N2941" s="10"/>
      <c r="O2941" s="3"/>
      <c r="P2941" s="10"/>
    </row>
    <row r="2942" spans="1:16" x14ac:dyDescent="0.15">
      <c r="A2942" s="10"/>
      <c r="B2942" s="3"/>
      <c r="C2942" s="10"/>
      <c r="D2942" s="10"/>
      <c r="E2942" s="10"/>
      <c r="F2942" s="10"/>
      <c r="G2942" s="10"/>
      <c r="H2942" s="10"/>
      <c r="I2942" s="10"/>
      <c r="J2942" s="10"/>
      <c r="K2942" s="10"/>
      <c r="L2942" s="10"/>
      <c r="M2942" s="10"/>
      <c r="N2942" s="10"/>
      <c r="O2942" s="3"/>
      <c r="P2942" s="10"/>
    </row>
    <row r="2943" spans="1:16" x14ac:dyDescent="0.15">
      <c r="A2943" s="10"/>
      <c r="B2943" s="3"/>
      <c r="C2943" s="10"/>
      <c r="D2943" s="10"/>
      <c r="E2943" s="10"/>
      <c r="F2943" s="10"/>
      <c r="G2943" s="10"/>
      <c r="H2943" s="10"/>
      <c r="I2943" s="10"/>
      <c r="J2943" s="10"/>
      <c r="K2943" s="10"/>
      <c r="L2943" s="10"/>
      <c r="M2943" s="10"/>
      <c r="N2943" s="10"/>
      <c r="O2943" s="3"/>
      <c r="P2943" s="10"/>
    </row>
    <row r="2944" spans="1:16" x14ac:dyDescent="0.15">
      <c r="A2944" s="10"/>
      <c r="B2944" s="3"/>
      <c r="C2944" s="10"/>
      <c r="D2944" s="10"/>
      <c r="E2944" s="10"/>
      <c r="F2944" s="10"/>
      <c r="G2944" s="10"/>
      <c r="H2944" s="10"/>
      <c r="I2944" s="10"/>
      <c r="J2944" s="10"/>
      <c r="K2944" s="10"/>
      <c r="L2944" s="10"/>
      <c r="M2944" s="10"/>
      <c r="N2944" s="10"/>
      <c r="O2944" s="3"/>
      <c r="P2944" s="10"/>
    </row>
    <row r="2945" spans="1:16" x14ac:dyDescent="0.15">
      <c r="A2945" s="10"/>
      <c r="B2945" s="3"/>
      <c r="C2945" s="10"/>
      <c r="D2945" s="10"/>
      <c r="E2945" s="10"/>
      <c r="F2945" s="10"/>
      <c r="G2945" s="10"/>
      <c r="H2945" s="10"/>
      <c r="I2945" s="10"/>
      <c r="J2945" s="10"/>
      <c r="K2945" s="10"/>
      <c r="L2945" s="10"/>
      <c r="M2945" s="10"/>
      <c r="N2945" s="10"/>
      <c r="O2945" s="3"/>
      <c r="P2945" s="10"/>
    </row>
    <row r="2946" spans="1:16" x14ac:dyDescent="0.15">
      <c r="A2946" s="10"/>
      <c r="B2946" s="3"/>
      <c r="C2946" s="10"/>
      <c r="D2946" s="10"/>
      <c r="E2946" s="10"/>
      <c r="F2946" s="10"/>
      <c r="G2946" s="10"/>
      <c r="H2946" s="10"/>
      <c r="I2946" s="10"/>
      <c r="J2946" s="10"/>
      <c r="K2946" s="10"/>
      <c r="L2946" s="10"/>
      <c r="M2946" s="10"/>
      <c r="N2946" s="10"/>
      <c r="O2946" s="3"/>
      <c r="P2946" s="10"/>
    </row>
    <row r="2947" spans="1:16" x14ac:dyDescent="0.15">
      <c r="A2947" s="10"/>
      <c r="B2947" s="3"/>
      <c r="C2947" s="10"/>
      <c r="D2947" s="10"/>
      <c r="E2947" s="10"/>
      <c r="F2947" s="10"/>
      <c r="G2947" s="10"/>
      <c r="H2947" s="10"/>
      <c r="I2947" s="10"/>
      <c r="J2947" s="10"/>
      <c r="K2947" s="10"/>
      <c r="L2947" s="10"/>
      <c r="M2947" s="10"/>
      <c r="N2947" s="10"/>
      <c r="O2947" s="3"/>
      <c r="P2947" s="10"/>
    </row>
    <row r="2948" spans="1:16" x14ac:dyDescent="0.15">
      <c r="A2948" s="10"/>
      <c r="B2948" s="3"/>
      <c r="C2948" s="10"/>
      <c r="D2948" s="10"/>
      <c r="E2948" s="10"/>
      <c r="F2948" s="10"/>
      <c r="G2948" s="10"/>
      <c r="H2948" s="10"/>
      <c r="I2948" s="10"/>
      <c r="J2948" s="10"/>
      <c r="K2948" s="10"/>
      <c r="L2948" s="10"/>
      <c r="M2948" s="10"/>
      <c r="N2948" s="10"/>
      <c r="O2948" s="3"/>
      <c r="P2948" s="10"/>
    </row>
    <row r="2949" spans="1:16" x14ac:dyDescent="0.15">
      <c r="A2949" s="10"/>
      <c r="B2949" s="3"/>
      <c r="C2949" s="10"/>
      <c r="D2949" s="10"/>
      <c r="E2949" s="10"/>
      <c r="F2949" s="10"/>
      <c r="G2949" s="10"/>
      <c r="H2949" s="10"/>
      <c r="I2949" s="10"/>
      <c r="J2949" s="10"/>
      <c r="K2949" s="10"/>
      <c r="L2949" s="10"/>
      <c r="M2949" s="10"/>
      <c r="N2949" s="10"/>
      <c r="O2949" s="3"/>
      <c r="P2949" s="10"/>
    </row>
    <row r="2950" spans="1:16" x14ac:dyDescent="0.15">
      <c r="A2950" s="10"/>
      <c r="B2950" s="3"/>
      <c r="C2950" s="10"/>
      <c r="D2950" s="10"/>
      <c r="E2950" s="10"/>
      <c r="F2950" s="10"/>
      <c r="G2950" s="10"/>
      <c r="H2950" s="10"/>
      <c r="I2950" s="10"/>
      <c r="J2950" s="10"/>
      <c r="K2950" s="10"/>
      <c r="L2950" s="10"/>
      <c r="M2950" s="10"/>
      <c r="N2950" s="10"/>
      <c r="O2950" s="3"/>
      <c r="P2950" s="10"/>
    </row>
    <row r="2951" spans="1:16" x14ac:dyDescent="0.15">
      <c r="A2951" s="10"/>
      <c r="B2951" s="3"/>
      <c r="C2951" s="10"/>
      <c r="D2951" s="10"/>
      <c r="E2951" s="10"/>
      <c r="F2951" s="10"/>
      <c r="G2951" s="10"/>
      <c r="H2951" s="10"/>
      <c r="I2951" s="10"/>
      <c r="J2951" s="10"/>
      <c r="K2951" s="10"/>
      <c r="L2951" s="10"/>
      <c r="M2951" s="10"/>
      <c r="N2951" s="10"/>
      <c r="O2951" s="3"/>
      <c r="P2951" s="10"/>
    </row>
    <row r="2952" spans="1:16" x14ac:dyDescent="0.15">
      <c r="A2952" s="10"/>
      <c r="B2952" s="3"/>
      <c r="C2952" s="10"/>
      <c r="D2952" s="10"/>
      <c r="E2952" s="10"/>
      <c r="F2952" s="10"/>
      <c r="G2952" s="10"/>
      <c r="H2952" s="10"/>
      <c r="I2952" s="10"/>
      <c r="J2952" s="10"/>
      <c r="K2952" s="10"/>
      <c r="L2952" s="10"/>
      <c r="M2952" s="10"/>
      <c r="N2952" s="10"/>
      <c r="O2952" s="3"/>
      <c r="P2952" s="10"/>
    </row>
    <row r="2953" spans="1:16" x14ac:dyDescent="0.15">
      <c r="A2953" s="10"/>
      <c r="B2953" s="3"/>
      <c r="C2953" s="10"/>
      <c r="D2953" s="10"/>
      <c r="E2953" s="10"/>
      <c r="F2953" s="10"/>
      <c r="G2953" s="10"/>
      <c r="H2953" s="10"/>
      <c r="I2953" s="10"/>
      <c r="J2953" s="10"/>
      <c r="K2953" s="10"/>
      <c r="L2953" s="10"/>
      <c r="M2953" s="10"/>
      <c r="N2953" s="10"/>
      <c r="O2953" s="3"/>
      <c r="P2953" s="10"/>
    </row>
    <row r="2954" spans="1:16" x14ac:dyDescent="0.15">
      <c r="A2954" s="10"/>
      <c r="B2954" s="3"/>
      <c r="C2954" s="10"/>
      <c r="D2954" s="10"/>
      <c r="E2954" s="10"/>
      <c r="F2954" s="10"/>
      <c r="G2954" s="10"/>
      <c r="H2954" s="10"/>
      <c r="I2954" s="10"/>
      <c r="J2954" s="10"/>
      <c r="K2954" s="10"/>
      <c r="L2954" s="10"/>
      <c r="M2954" s="10"/>
      <c r="N2954" s="10"/>
      <c r="O2954" s="3"/>
      <c r="P2954" s="10"/>
    </row>
    <row r="2955" spans="1:16" x14ac:dyDescent="0.15">
      <c r="A2955" s="10"/>
      <c r="B2955" s="3"/>
      <c r="C2955" s="10"/>
      <c r="D2955" s="10"/>
      <c r="E2955" s="10"/>
      <c r="F2955" s="10"/>
      <c r="G2955" s="10"/>
      <c r="H2955" s="10"/>
      <c r="I2955" s="10"/>
      <c r="J2955" s="10"/>
      <c r="K2955" s="10"/>
      <c r="L2955" s="10"/>
      <c r="M2955" s="10"/>
      <c r="N2955" s="10"/>
      <c r="O2955" s="3"/>
      <c r="P2955" s="10"/>
    </row>
    <row r="2956" spans="1:16" x14ac:dyDescent="0.15">
      <c r="A2956" s="10"/>
      <c r="B2956" s="3"/>
      <c r="C2956" s="10"/>
      <c r="D2956" s="10"/>
      <c r="E2956" s="10"/>
      <c r="F2956" s="10"/>
      <c r="G2956" s="10"/>
      <c r="H2956" s="10"/>
      <c r="I2956" s="10"/>
      <c r="J2956" s="10"/>
      <c r="K2956" s="10"/>
      <c r="L2956" s="10"/>
      <c r="M2956" s="10"/>
      <c r="N2956" s="10"/>
      <c r="O2956" s="3"/>
      <c r="P2956" s="10"/>
    </row>
    <row r="2957" spans="1:16" x14ac:dyDescent="0.15">
      <c r="A2957" s="10"/>
      <c r="B2957" s="3"/>
      <c r="C2957" s="10"/>
      <c r="D2957" s="10"/>
      <c r="E2957" s="10"/>
      <c r="F2957" s="10"/>
      <c r="G2957" s="10"/>
      <c r="H2957" s="10"/>
      <c r="I2957" s="10"/>
      <c r="J2957" s="10"/>
      <c r="K2957" s="10"/>
      <c r="L2957" s="10"/>
      <c r="M2957" s="10"/>
      <c r="N2957" s="10"/>
      <c r="O2957" s="3"/>
      <c r="P2957" s="10"/>
    </row>
    <row r="2958" spans="1:16" x14ac:dyDescent="0.15">
      <c r="A2958" s="10"/>
      <c r="B2958" s="3"/>
      <c r="C2958" s="10"/>
      <c r="D2958" s="10"/>
      <c r="E2958" s="10"/>
      <c r="F2958" s="10"/>
      <c r="G2958" s="10"/>
      <c r="H2958" s="10"/>
      <c r="I2958" s="10"/>
      <c r="J2958" s="10"/>
      <c r="K2958" s="10"/>
      <c r="L2958" s="10"/>
      <c r="M2958" s="10"/>
      <c r="N2958" s="10"/>
      <c r="O2958" s="3"/>
      <c r="P2958" s="10"/>
    </row>
    <row r="2959" spans="1:16" x14ac:dyDescent="0.15">
      <c r="A2959" s="10"/>
      <c r="B2959" s="3"/>
      <c r="C2959" s="10"/>
      <c r="D2959" s="10"/>
      <c r="E2959" s="10"/>
      <c r="F2959" s="10"/>
      <c r="G2959" s="10"/>
      <c r="H2959" s="10"/>
      <c r="I2959" s="10"/>
      <c r="J2959" s="10"/>
      <c r="K2959" s="10"/>
      <c r="L2959" s="10"/>
      <c r="M2959" s="10"/>
      <c r="N2959" s="10"/>
      <c r="O2959" s="3"/>
      <c r="P2959" s="10"/>
    </row>
    <row r="2960" spans="1:16" x14ac:dyDescent="0.15">
      <c r="A2960" s="10"/>
      <c r="B2960" s="3"/>
      <c r="C2960" s="10"/>
      <c r="D2960" s="10"/>
      <c r="E2960" s="10"/>
      <c r="F2960" s="10"/>
      <c r="G2960" s="10"/>
      <c r="H2960" s="10"/>
      <c r="I2960" s="10"/>
      <c r="J2960" s="10"/>
      <c r="K2960" s="10"/>
      <c r="L2960" s="10"/>
      <c r="M2960" s="10"/>
      <c r="N2960" s="10"/>
      <c r="O2960" s="3"/>
      <c r="P2960" s="10"/>
    </row>
    <row r="2961" spans="1:16" x14ac:dyDescent="0.15">
      <c r="A2961" s="10"/>
      <c r="B2961" s="3"/>
      <c r="C2961" s="10"/>
      <c r="D2961" s="10"/>
      <c r="E2961" s="10"/>
      <c r="F2961" s="10"/>
      <c r="G2961" s="10"/>
      <c r="H2961" s="10"/>
      <c r="I2961" s="10"/>
      <c r="J2961" s="10"/>
      <c r="K2961" s="10"/>
      <c r="L2961" s="10"/>
      <c r="M2961" s="10"/>
      <c r="N2961" s="10"/>
      <c r="O2961" s="3"/>
      <c r="P2961" s="10"/>
    </row>
    <row r="2962" spans="1:16" x14ac:dyDescent="0.15">
      <c r="A2962" s="10"/>
      <c r="B2962" s="3"/>
      <c r="C2962" s="10"/>
      <c r="D2962" s="10"/>
      <c r="E2962" s="10"/>
      <c r="F2962" s="10"/>
      <c r="G2962" s="10"/>
      <c r="H2962" s="10"/>
      <c r="I2962" s="10"/>
      <c r="J2962" s="10"/>
      <c r="K2962" s="10"/>
      <c r="L2962" s="10"/>
      <c r="M2962" s="10"/>
      <c r="N2962" s="10"/>
      <c r="O2962" s="3"/>
      <c r="P2962" s="10"/>
    </row>
    <row r="2963" spans="1:16" x14ac:dyDescent="0.15">
      <c r="A2963" s="10"/>
      <c r="B2963" s="3"/>
      <c r="C2963" s="10"/>
      <c r="D2963" s="10"/>
      <c r="E2963" s="10"/>
      <c r="F2963" s="10"/>
      <c r="G2963" s="10"/>
      <c r="H2963" s="10"/>
      <c r="I2963" s="10"/>
      <c r="J2963" s="10"/>
      <c r="K2963" s="10"/>
      <c r="L2963" s="10"/>
      <c r="M2963" s="10"/>
      <c r="N2963" s="10"/>
      <c r="O2963" s="3"/>
      <c r="P2963" s="10"/>
    </row>
    <row r="2964" spans="1:16" x14ac:dyDescent="0.15">
      <c r="A2964" s="10"/>
      <c r="B2964" s="3"/>
      <c r="C2964" s="10"/>
      <c r="D2964" s="10"/>
      <c r="E2964" s="10"/>
      <c r="F2964" s="10"/>
      <c r="G2964" s="10"/>
      <c r="H2964" s="10"/>
      <c r="I2964" s="10"/>
      <c r="J2964" s="10"/>
      <c r="K2964" s="10"/>
      <c r="L2964" s="10"/>
      <c r="M2964" s="10"/>
      <c r="N2964" s="10"/>
      <c r="O2964" s="3"/>
      <c r="P2964" s="10"/>
    </row>
    <row r="2965" spans="1:16" x14ac:dyDescent="0.15">
      <c r="A2965" s="10"/>
      <c r="B2965" s="3"/>
      <c r="C2965" s="10"/>
      <c r="D2965" s="10"/>
      <c r="E2965" s="10"/>
      <c r="F2965" s="10"/>
      <c r="G2965" s="10"/>
      <c r="H2965" s="10"/>
      <c r="I2965" s="10"/>
      <c r="J2965" s="10"/>
      <c r="K2965" s="10"/>
      <c r="L2965" s="10"/>
      <c r="M2965" s="10"/>
      <c r="N2965" s="10"/>
      <c r="O2965" s="3"/>
      <c r="P2965" s="10"/>
    </row>
    <row r="2966" spans="1:16" x14ac:dyDescent="0.15">
      <c r="A2966" s="10"/>
      <c r="B2966" s="3"/>
      <c r="C2966" s="10"/>
      <c r="D2966" s="10"/>
      <c r="E2966" s="10"/>
      <c r="F2966" s="10"/>
      <c r="G2966" s="10"/>
      <c r="H2966" s="10"/>
      <c r="I2966" s="10"/>
      <c r="J2966" s="10"/>
      <c r="K2966" s="10"/>
      <c r="L2966" s="10"/>
      <c r="M2966" s="10"/>
      <c r="N2966" s="10"/>
      <c r="O2966" s="3"/>
      <c r="P2966" s="10"/>
    </row>
    <row r="2967" spans="1:16" x14ac:dyDescent="0.15">
      <c r="A2967" s="10"/>
      <c r="B2967" s="3"/>
      <c r="C2967" s="10"/>
      <c r="D2967" s="10"/>
      <c r="E2967" s="10"/>
      <c r="F2967" s="10"/>
      <c r="G2967" s="10"/>
      <c r="H2967" s="10"/>
      <c r="I2967" s="10"/>
      <c r="J2967" s="10"/>
      <c r="K2967" s="10"/>
      <c r="L2967" s="10"/>
      <c r="M2967" s="10"/>
      <c r="N2967" s="10"/>
      <c r="O2967" s="3"/>
      <c r="P2967" s="10"/>
    </row>
    <row r="2968" spans="1:16" x14ac:dyDescent="0.15">
      <c r="A2968" s="10"/>
      <c r="B2968" s="3"/>
      <c r="C2968" s="10"/>
      <c r="D2968" s="10"/>
      <c r="E2968" s="10"/>
      <c r="F2968" s="10"/>
      <c r="G2968" s="10"/>
      <c r="H2968" s="10"/>
      <c r="I2968" s="10"/>
      <c r="J2968" s="10"/>
      <c r="K2968" s="10"/>
      <c r="L2968" s="10"/>
      <c r="M2968" s="10"/>
      <c r="N2968" s="10"/>
      <c r="O2968" s="3"/>
      <c r="P2968" s="10"/>
    </row>
    <row r="2969" spans="1:16" x14ac:dyDescent="0.15">
      <c r="A2969" s="10"/>
      <c r="B2969" s="3"/>
      <c r="C2969" s="10"/>
      <c r="D2969" s="10"/>
      <c r="E2969" s="10"/>
      <c r="F2969" s="10"/>
      <c r="G2969" s="10"/>
      <c r="H2969" s="10"/>
      <c r="I2969" s="10"/>
      <c r="J2969" s="10"/>
      <c r="K2969" s="10"/>
      <c r="L2969" s="10"/>
      <c r="M2969" s="10"/>
      <c r="N2969" s="10"/>
      <c r="O2969" s="3"/>
      <c r="P2969" s="10"/>
    </row>
    <row r="2970" spans="1:16" x14ac:dyDescent="0.15">
      <c r="A2970" s="10"/>
      <c r="B2970" s="3"/>
      <c r="C2970" s="10"/>
      <c r="D2970" s="10"/>
      <c r="E2970" s="10"/>
      <c r="F2970" s="10"/>
      <c r="G2970" s="10"/>
      <c r="H2970" s="10"/>
      <c r="I2970" s="10"/>
      <c r="J2970" s="10"/>
      <c r="K2970" s="10"/>
      <c r="L2970" s="10"/>
      <c r="M2970" s="10"/>
      <c r="N2970" s="10"/>
      <c r="O2970" s="3"/>
      <c r="P2970" s="10"/>
    </row>
    <row r="2971" spans="1:16" x14ac:dyDescent="0.15">
      <c r="A2971" s="10"/>
      <c r="B2971" s="3"/>
      <c r="C2971" s="10"/>
      <c r="D2971" s="10"/>
      <c r="E2971" s="10"/>
      <c r="F2971" s="10"/>
      <c r="G2971" s="10"/>
      <c r="H2971" s="10"/>
      <c r="I2971" s="10"/>
      <c r="J2971" s="10"/>
      <c r="K2971" s="10"/>
      <c r="L2971" s="10"/>
      <c r="M2971" s="10"/>
      <c r="N2971" s="10"/>
      <c r="O2971" s="3"/>
      <c r="P2971" s="10"/>
    </row>
    <row r="2972" spans="1:16" x14ac:dyDescent="0.15">
      <c r="A2972" s="10"/>
      <c r="B2972" s="3"/>
      <c r="C2972" s="10"/>
      <c r="D2972" s="10"/>
      <c r="E2972" s="10"/>
      <c r="F2972" s="10"/>
      <c r="G2972" s="10"/>
      <c r="H2972" s="10"/>
      <c r="I2972" s="10"/>
      <c r="J2972" s="10"/>
      <c r="K2972" s="10"/>
      <c r="L2972" s="10"/>
      <c r="M2972" s="10"/>
      <c r="N2972" s="10"/>
      <c r="O2972" s="3"/>
      <c r="P2972" s="10"/>
    </row>
    <row r="2973" spans="1:16" x14ac:dyDescent="0.15">
      <c r="A2973" s="10"/>
      <c r="B2973" s="3"/>
      <c r="C2973" s="10"/>
      <c r="D2973" s="10"/>
      <c r="E2973" s="10"/>
      <c r="F2973" s="10"/>
      <c r="G2973" s="10"/>
      <c r="H2973" s="10"/>
      <c r="I2973" s="10"/>
      <c r="J2973" s="10"/>
      <c r="K2973" s="10"/>
      <c r="L2973" s="10"/>
      <c r="M2973" s="10"/>
      <c r="N2973" s="10"/>
      <c r="O2973" s="3"/>
      <c r="P2973" s="10"/>
    </row>
    <row r="2974" spans="1:16" x14ac:dyDescent="0.15">
      <c r="A2974" s="10"/>
      <c r="B2974" s="3"/>
      <c r="C2974" s="10"/>
      <c r="D2974" s="10"/>
      <c r="E2974" s="10"/>
      <c r="F2974" s="10"/>
      <c r="G2974" s="10"/>
      <c r="H2974" s="10"/>
      <c r="I2974" s="10"/>
      <c r="J2974" s="10"/>
      <c r="K2974" s="10"/>
      <c r="L2974" s="10"/>
      <c r="M2974" s="10"/>
      <c r="N2974" s="10"/>
      <c r="O2974" s="3"/>
      <c r="P2974" s="10"/>
    </row>
    <row r="2975" spans="1:16" x14ac:dyDescent="0.15">
      <c r="A2975" s="10"/>
      <c r="B2975" s="3"/>
      <c r="C2975" s="10"/>
      <c r="D2975" s="10"/>
      <c r="E2975" s="10"/>
      <c r="F2975" s="10"/>
      <c r="G2975" s="10"/>
      <c r="H2975" s="10"/>
      <c r="I2975" s="10"/>
      <c r="J2975" s="10"/>
      <c r="K2975" s="10"/>
      <c r="L2975" s="10"/>
      <c r="M2975" s="10"/>
      <c r="N2975" s="10"/>
      <c r="O2975" s="3"/>
      <c r="P2975" s="10"/>
    </row>
    <row r="2976" spans="1:16" x14ac:dyDescent="0.15">
      <c r="A2976" s="10"/>
      <c r="B2976" s="3"/>
      <c r="C2976" s="10"/>
      <c r="D2976" s="10"/>
      <c r="E2976" s="10"/>
      <c r="F2976" s="10"/>
      <c r="G2976" s="10"/>
      <c r="H2976" s="10"/>
      <c r="I2976" s="10"/>
      <c r="J2976" s="10"/>
      <c r="K2976" s="10"/>
      <c r="L2976" s="10"/>
      <c r="M2976" s="10"/>
      <c r="N2976" s="10"/>
      <c r="O2976" s="3"/>
      <c r="P2976" s="10"/>
    </row>
    <row r="2977" spans="1:16" x14ac:dyDescent="0.15">
      <c r="A2977" s="10"/>
      <c r="B2977" s="3"/>
      <c r="C2977" s="10"/>
      <c r="D2977" s="10"/>
      <c r="E2977" s="10"/>
      <c r="F2977" s="10"/>
      <c r="G2977" s="10"/>
      <c r="H2977" s="10"/>
      <c r="I2977" s="10"/>
      <c r="J2977" s="10"/>
      <c r="K2977" s="10"/>
      <c r="L2977" s="10"/>
      <c r="M2977" s="10"/>
      <c r="N2977" s="10"/>
      <c r="O2977" s="3"/>
      <c r="P2977" s="10"/>
    </row>
    <row r="2978" spans="1:16" x14ac:dyDescent="0.15">
      <c r="A2978" s="10"/>
      <c r="B2978" s="3"/>
      <c r="C2978" s="10"/>
      <c r="D2978" s="10"/>
      <c r="E2978" s="10"/>
      <c r="F2978" s="10"/>
      <c r="G2978" s="10"/>
      <c r="H2978" s="10"/>
      <c r="I2978" s="10"/>
      <c r="J2978" s="10"/>
      <c r="K2978" s="10"/>
      <c r="L2978" s="10"/>
      <c r="M2978" s="10"/>
      <c r="N2978" s="10"/>
      <c r="O2978" s="3"/>
      <c r="P2978" s="10"/>
    </row>
    <row r="2979" spans="1:16" x14ac:dyDescent="0.15">
      <c r="A2979" s="10"/>
      <c r="B2979" s="3"/>
      <c r="C2979" s="10"/>
      <c r="D2979" s="10"/>
      <c r="E2979" s="10"/>
      <c r="F2979" s="10"/>
      <c r="G2979" s="10"/>
      <c r="H2979" s="10"/>
      <c r="I2979" s="10"/>
      <c r="J2979" s="10"/>
      <c r="K2979" s="10"/>
      <c r="L2979" s="10"/>
      <c r="M2979" s="10"/>
      <c r="N2979" s="10"/>
      <c r="O2979" s="3"/>
      <c r="P2979" s="10"/>
    </row>
    <row r="2980" spans="1:16" x14ac:dyDescent="0.15">
      <c r="A2980" s="10"/>
      <c r="B2980" s="3"/>
      <c r="C2980" s="10"/>
      <c r="D2980" s="10"/>
      <c r="E2980" s="10"/>
      <c r="F2980" s="10"/>
      <c r="G2980" s="10"/>
      <c r="H2980" s="10"/>
      <c r="I2980" s="10"/>
      <c r="J2980" s="10"/>
      <c r="K2980" s="10"/>
      <c r="L2980" s="10"/>
      <c r="M2980" s="10"/>
      <c r="N2980" s="10"/>
      <c r="O2980" s="3"/>
      <c r="P2980" s="10"/>
    </row>
    <row r="2981" spans="1:16" x14ac:dyDescent="0.15">
      <c r="A2981" s="10"/>
      <c r="B2981" s="3"/>
      <c r="C2981" s="10"/>
      <c r="D2981" s="10"/>
      <c r="E2981" s="10"/>
      <c r="F2981" s="10"/>
      <c r="G2981" s="10"/>
      <c r="H2981" s="10"/>
      <c r="I2981" s="10"/>
      <c r="J2981" s="10"/>
      <c r="K2981" s="10"/>
      <c r="L2981" s="10"/>
      <c r="M2981" s="10"/>
      <c r="N2981" s="10"/>
      <c r="O2981" s="3"/>
      <c r="P2981" s="10"/>
    </row>
    <row r="2982" spans="1:16" x14ac:dyDescent="0.15">
      <c r="A2982" s="10"/>
      <c r="B2982" s="3"/>
      <c r="C2982" s="10"/>
      <c r="D2982" s="10"/>
      <c r="E2982" s="10"/>
      <c r="F2982" s="10"/>
      <c r="G2982" s="10"/>
      <c r="H2982" s="10"/>
      <c r="I2982" s="10"/>
      <c r="J2982" s="10"/>
      <c r="K2982" s="10"/>
      <c r="L2982" s="10"/>
      <c r="M2982" s="10"/>
      <c r="N2982" s="10"/>
      <c r="O2982" s="3"/>
      <c r="P2982" s="10"/>
    </row>
    <row r="2983" spans="1:16" x14ac:dyDescent="0.15">
      <c r="A2983" s="10"/>
      <c r="B2983" s="3"/>
      <c r="C2983" s="10"/>
      <c r="D2983" s="10"/>
      <c r="E2983" s="10"/>
      <c r="F2983" s="10"/>
      <c r="G2983" s="10"/>
      <c r="H2983" s="10"/>
      <c r="I2983" s="10"/>
      <c r="J2983" s="10"/>
      <c r="K2983" s="10"/>
      <c r="L2983" s="10"/>
      <c r="M2983" s="10"/>
      <c r="N2983" s="10"/>
      <c r="O2983" s="3"/>
      <c r="P2983" s="10"/>
    </row>
    <row r="2984" spans="1:16" x14ac:dyDescent="0.15">
      <c r="A2984" s="10"/>
      <c r="B2984" s="3"/>
      <c r="C2984" s="10"/>
      <c r="D2984" s="10"/>
      <c r="E2984" s="10"/>
      <c r="F2984" s="10"/>
      <c r="G2984" s="10"/>
      <c r="H2984" s="10"/>
      <c r="I2984" s="10"/>
      <c r="J2984" s="10"/>
      <c r="K2984" s="10"/>
      <c r="L2984" s="10"/>
      <c r="M2984" s="10"/>
      <c r="N2984" s="10"/>
      <c r="O2984" s="3"/>
      <c r="P2984" s="10"/>
    </row>
    <row r="2985" spans="1:16" x14ac:dyDescent="0.15">
      <c r="A2985" s="10"/>
      <c r="B2985" s="3"/>
      <c r="C2985" s="10"/>
      <c r="D2985" s="10"/>
      <c r="E2985" s="10"/>
      <c r="F2985" s="10"/>
      <c r="G2985" s="10"/>
      <c r="H2985" s="10"/>
      <c r="I2985" s="10"/>
      <c r="J2985" s="10"/>
      <c r="K2985" s="10"/>
      <c r="L2985" s="10"/>
      <c r="M2985" s="10"/>
      <c r="N2985" s="10"/>
      <c r="O2985" s="3"/>
      <c r="P2985" s="10"/>
    </row>
    <row r="2986" spans="1:16" x14ac:dyDescent="0.15">
      <c r="A2986" s="10"/>
      <c r="B2986" s="3"/>
      <c r="C2986" s="10"/>
      <c r="D2986" s="10"/>
      <c r="E2986" s="10"/>
      <c r="F2986" s="10"/>
      <c r="G2986" s="10"/>
      <c r="H2986" s="10"/>
      <c r="I2986" s="10"/>
      <c r="J2986" s="10"/>
      <c r="K2986" s="10"/>
      <c r="L2986" s="10"/>
      <c r="M2986" s="10"/>
      <c r="N2986" s="10"/>
      <c r="O2986" s="3"/>
      <c r="P2986" s="10"/>
    </row>
    <row r="2987" spans="1:16" x14ac:dyDescent="0.15">
      <c r="A2987" s="10"/>
      <c r="B2987" s="3"/>
      <c r="C2987" s="10"/>
      <c r="D2987" s="10"/>
      <c r="E2987" s="10"/>
      <c r="F2987" s="10"/>
      <c r="G2987" s="10"/>
      <c r="H2987" s="10"/>
      <c r="I2987" s="10"/>
      <c r="J2987" s="10"/>
      <c r="K2987" s="10"/>
      <c r="L2987" s="10"/>
      <c r="M2987" s="10"/>
      <c r="N2987" s="10"/>
      <c r="O2987" s="3"/>
      <c r="P2987" s="10"/>
    </row>
    <row r="2988" spans="1:16" x14ac:dyDescent="0.15">
      <c r="A2988" s="10"/>
      <c r="B2988" s="3"/>
      <c r="C2988" s="10"/>
      <c r="D2988" s="10"/>
      <c r="E2988" s="10"/>
      <c r="F2988" s="10"/>
      <c r="G2988" s="10"/>
      <c r="H2988" s="10"/>
      <c r="I2988" s="10"/>
      <c r="J2988" s="10"/>
      <c r="K2988" s="10"/>
      <c r="L2988" s="10"/>
      <c r="M2988" s="10"/>
      <c r="N2988" s="10"/>
      <c r="O2988" s="3"/>
      <c r="P2988" s="10"/>
    </row>
    <row r="2989" spans="1:16" x14ac:dyDescent="0.15">
      <c r="A2989" s="10"/>
      <c r="B2989" s="3"/>
      <c r="C2989" s="10"/>
      <c r="D2989" s="10"/>
      <c r="E2989" s="10"/>
      <c r="F2989" s="10"/>
      <c r="G2989" s="10"/>
      <c r="H2989" s="10"/>
      <c r="I2989" s="10"/>
      <c r="J2989" s="10"/>
      <c r="K2989" s="10"/>
      <c r="L2989" s="10"/>
      <c r="M2989" s="10"/>
      <c r="N2989" s="10"/>
      <c r="O2989" s="3"/>
      <c r="P2989" s="10"/>
    </row>
    <row r="2990" spans="1:16" x14ac:dyDescent="0.15">
      <c r="A2990" s="10"/>
      <c r="B2990" s="3"/>
      <c r="C2990" s="10"/>
      <c r="D2990" s="10"/>
      <c r="E2990" s="10"/>
      <c r="F2990" s="10"/>
      <c r="G2990" s="10"/>
      <c r="H2990" s="10"/>
      <c r="I2990" s="10"/>
      <c r="J2990" s="10"/>
      <c r="K2990" s="10"/>
      <c r="L2990" s="10"/>
      <c r="M2990" s="10"/>
      <c r="N2990" s="10"/>
      <c r="O2990" s="3"/>
      <c r="P2990" s="10"/>
    </row>
    <row r="2991" spans="1:16" x14ac:dyDescent="0.15">
      <c r="A2991" s="10"/>
      <c r="B2991" s="3"/>
      <c r="C2991" s="10"/>
      <c r="D2991" s="10"/>
      <c r="E2991" s="10"/>
      <c r="F2991" s="10"/>
      <c r="G2991" s="10"/>
      <c r="H2991" s="10"/>
      <c r="I2991" s="10"/>
      <c r="J2991" s="10"/>
      <c r="K2991" s="10"/>
      <c r="L2991" s="10"/>
      <c r="M2991" s="10"/>
      <c r="N2991" s="10"/>
      <c r="O2991" s="3"/>
      <c r="P2991" s="10"/>
    </row>
    <row r="2992" spans="1:16" x14ac:dyDescent="0.15">
      <c r="A2992" s="10"/>
      <c r="B2992" s="3"/>
      <c r="C2992" s="10"/>
      <c r="D2992" s="10"/>
      <c r="E2992" s="10"/>
      <c r="F2992" s="10"/>
      <c r="G2992" s="10"/>
      <c r="H2992" s="10"/>
      <c r="I2992" s="10"/>
      <c r="J2992" s="10"/>
      <c r="K2992" s="10"/>
      <c r="L2992" s="10"/>
      <c r="M2992" s="10"/>
      <c r="N2992" s="10"/>
      <c r="O2992" s="3"/>
      <c r="P2992" s="10"/>
    </row>
    <row r="2993" spans="1:16" x14ac:dyDescent="0.15">
      <c r="A2993" s="10"/>
      <c r="B2993" s="3"/>
      <c r="C2993" s="10"/>
      <c r="D2993" s="10"/>
      <c r="E2993" s="10"/>
      <c r="F2993" s="10"/>
      <c r="G2993" s="10"/>
      <c r="H2993" s="10"/>
      <c r="I2993" s="10"/>
      <c r="J2993" s="10"/>
      <c r="K2993" s="10"/>
      <c r="L2993" s="10"/>
      <c r="M2993" s="10"/>
      <c r="N2993" s="10"/>
      <c r="O2993" s="3"/>
      <c r="P2993" s="10"/>
    </row>
    <row r="2994" spans="1:16" x14ac:dyDescent="0.15">
      <c r="A2994" s="10"/>
      <c r="B2994" s="3"/>
      <c r="C2994" s="10"/>
      <c r="D2994" s="10"/>
      <c r="E2994" s="10"/>
      <c r="F2994" s="10"/>
      <c r="G2994" s="10"/>
      <c r="H2994" s="10"/>
      <c r="I2994" s="10"/>
      <c r="J2994" s="10"/>
      <c r="K2994" s="10"/>
      <c r="L2994" s="10"/>
      <c r="M2994" s="10"/>
      <c r="N2994" s="10"/>
      <c r="O2994" s="3"/>
      <c r="P2994" s="10"/>
    </row>
    <row r="2995" spans="1:16" x14ac:dyDescent="0.15">
      <c r="A2995" s="10"/>
      <c r="B2995" s="3"/>
      <c r="C2995" s="10"/>
      <c r="D2995" s="10"/>
      <c r="E2995" s="10"/>
      <c r="F2995" s="10"/>
      <c r="G2995" s="10"/>
      <c r="H2995" s="10"/>
      <c r="I2995" s="10"/>
      <c r="J2995" s="10"/>
      <c r="K2995" s="10"/>
      <c r="L2995" s="10"/>
      <c r="M2995" s="10"/>
      <c r="N2995" s="10"/>
      <c r="O2995" s="3"/>
      <c r="P2995" s="10"/>
    </row>
    <row r="2996" spans="1:16" x14ac:dyDescent="0.15">
      <c r="A2996" s="10"/>
      <c r="B2996" s="3"/>
      <c r="C2996" s="10"/>
      <c r="D2996" s="10"/>
      <c r="E2996" s="10"/>
      <c r="F2996" s="10"/>
      <c r="G2996" s="10"/>
      <c r="H2996" s="10"/>
      <c r="I2996" s="10"/>
      <c r="J2996" s="10"/>
      <c r="K2996" s="10"/>
      <c r="L2996" s="10"/>
      <c r="M2996" s="10"/>
      <c r="N2996" s="10"/>
      <c r="O2996" s="3"/>
      <c r="P2996" s="10"/>
    </row>
    <row r="2997" spans="1:16" x14ac:dyDescent="0.15">
      <c r="A2997" s="10"/>
      <c r="B2997" s="3"/>
      <c r="C2997" s="10"/>
      <c r="D2997" s="10"/>
      <c r="E2997" s="10"/>
      <c r="F2997" s="10"/>
      <c r="G2997" s="10"/>
      <c r="H2997" s="10"/>
      <c r="I2997" s="10"/>
      <c r="J2997" s="10"/>
      <c r="K2997" s="10"/>
      <c r="L2997" s="10"/>
      <c r="M2997" s="10"/>
      <c r="N2997" s="10"/>
      <c r="O2997" s="3"/>
      <c r="P2997" s="10"/>
    </row>
    <row r="2998" spans="1:16" x14ac:dyDescent="0.15">
      <c r="A2998" s="10"/>
      <c r="B2998" s="3"/>
      <c r="C2998" s="10"/>
      <c r="D2998" s="10"/>
      <c r="E2998" s="10"/>
      <c r="F2998" s="10"/>
      <c r="G2998" s="10"/>
      <c r="H2998" s="10"/>
      <c r="I2998" s="10"/>
      <c r="J2998" s="10"/>
      <c r="K2998" s="10"/>
      <c r="L2998" s="10"/>
      <c r="M2998" s="10"/>
      <c r="N2998" s="10"/>
      <c r="O2998" s="3"/>
      <c r="P2998" s="10"/>
    </row>
    <row r="2999" spans="1:16" x14ac:dyDescent="0.15">
      <c r="A2999" s="10"/>
      <c r="B2999" s="3"/>
      <c r="C2999" s="10"/>
      <c r="D2999" s="10"/>
      <c r="E2999" s="10"/>
      <c r="F2999" s="10"/>
      <c r="G2999" s="10"/>
      <c r="H2999" s="10"/>
      <c r="I2999" s="10"/>
      <c r="J2999" s="10"/>
      <c r="K2999" s="10"/>
      <c r="L2999" s="10"/>
      <c r="M2999" s="10"/>
      <c r="N2999" s="10"/>
      <c r="O2999" s="3"/>
      <c r="P2999" s="10"/>
    </row>
    <row r="3000" spans="1:16" x14ac:dyDescent="0.15">
      <c r="A3000" s="10"/>
      <c r="B3000" s="3"/>
      <c r="C3000" s="10"/>
      <c r="D3000" s="10"/>
      <c r="E3000" s="10"/>
      <c r="F3000" s="10"/>
      <c r="G3000" s="10"/>
      <c r="H3000" s="10"/>
      <c r="I3000" s="10"/>
      <c r="J3000" s="10"/>
      <c r="K3000" s="10"/>
      <c r="L3000" s="10"/>
      <c r="M3000" s="10"/>
      <c r="N3000" s="10"/>
      <c r="O3000" s="3"/>
      <c r="P3000" s="10"/>
    </row>
    <row r="3001" spans="1:16" x14ac:dyDescent="0.15">
      <c r="A3001" s="10"/>
      <c r="B3001" s="3"/>
      <c r="C3001" s="10"/>
      <c r="D3001" s="10"/>
      <c r="E3001" s="10"/>
      <c r="F3001" s="10"/>
      <c r="G3001" s="10"/>
      <c r="H3001" s="10"/>
      <c r="I3001" s="10"/>
      <c r="J3001" s="10"/>
      <c r="K3001" s="10"/>
      <c r="L3001" s="10"/>
      <c r="M3001" s="10"/>
      <c r="N3001" s="10"/>
      <c r="O3001" s="3"/>
      <c r="P3001" s="10"/>
    </row>
    <row r="3002" spans="1:16" x14ac:dyDescent="0.15">
      <c r="A3002" s="10"/>
      <c r="B3002" s="3"/>
      <c r="C3002" s="10"/>
      <c r="D3002" s="10"/>
      <c r="E3002" s="10"/>
      <c r="F3002" s="10"/>
      <c r="G3002" s="10"/>
      <c r="H3002" s="10"/>
      <c r="I3002" s="10"/>
      <c r="J3002" s="10"/>
      <c r="K3002" s="10"/>
      <c r="L3002" s="10"/>
      <c r="M3002" s="10"/>
      <c r="N3002" s="10"/>
      <c r="O3002" s="3"/>
      <c r="P3002" s="10"/>
    </row>
    <row r="3003" spans="1:16" x14ac:dyDescent="0.15">
      <c r="A3003" s="10"/>
      <c r="B3003" s="3"/>
      <c r="C3003" s="10"/>
      <c r="D3003" s="10"/>
      <c r="E3003" s="10"/>
      <c r="F3003" s="10"/>
      <c r="G3003" s="10"/>
      <c r="H3003" s="10"/>
      <c r="I3003" s="10"/>
      <c r="J3003" s="10"/>
      <c r="K3003" s="10"/>
      <c r="L3003" s="10"/>
      <c r="M3003" s="10"/>
      <c r="N3003" s="10"/>
      <c r="O3003" s="3"/>
      <c r="P3003" s="10"/>
    </row>
    <row r="3004" spans="1:16" x14ac:dyDescent="0.15">
      <c r="A3004" s="10"/>
      <c r="B3004" s="3"/>
      <c r="C3004" s="10"/>
      <c r="D3004" s="10"/>
      <c r="E3004" s="10"/>
      <c r="F3004" s="10"/>
      <c r="G3004" s="10"/>
      <c r="H3004" s="10"/>
      <c r="I3004" s="10"/>
      <c r="J3004" s="10"/>
      <c r="K3004" s="10"/>
      <c r="L3004" s="10"/>
      <c r="M3004" s="10"/>
      <c r="N3004" s="10"/>
      <c r="O3004" s="3"/>
      <c r="P3004" s="10"/>
    </row>
    <row r="3005" spans="1:16" x14ac:dyDescent="0.15">
      <c r="A3005" s="10"/>
      <c r="B3005" s="3"/>
      <c r="C3005" s="10"/>
      <c r="D3005" s="10"/>
      <c r="E3005" s="10"/>
      <c r="F3005" s="10"/>
      <c r="G3005" s="10"/>
      <c r="H3005" s="10"/>
      <c r="I3005" s="10"/>
      <c r="J3005" s="10"/>
      <c r="K3005" s="10"/>
      <c r="L3005" s="10"/>
      <c r="M3005" s="10"/>
      <c r="N3005" s="10"/>
      <c r="O3005" s="3"/>
      <c r="P3005" s="10"/>
    </row>
    <row r="3006" spans="1:16" x14ac:dyDescent="0.15">
      <c r="A3006" s="10"/>
      <c r="B3006" s="3"/>
      <c r="C3006" s="10"/>
      <c r="D3006" s="10"/>
      <c r="E3006" s="10"/>
      <c r="F3006" s="10"/>
      <c r="G3006" s="10"/>
      <c r="H3006" s="10"/>
      <c r="I3006" s="10"/>
      <c r="J3006" s="10"/>
      <c r="K3006" s="10"/>
      <c r="L3006" s="10"/>
      <c r="M3006" s="10"/>
      <c r="N3006" s="10"/>
      <c r="O3006" s="3"/>
      <c r="P3006" s="10"/>
    </row>
    <row r="3007" spans="1:16" x14ac:dyDescent="0.15">
      <c r="A3007" s="10"/>
      <c r="B3007" s="3"/>
      <c r="C3007" s="10"/>
      <c r="D3007" s="10"/>
      <c r="E3007" s="10"/>
      <c r="F3007" s="10"/>
      <c r="G3007" s="10"/>
      <c r="H3007" s="10"/>
      <c r="I3007" s="10"/>
      <c r="J3007" s="10"/>
      <c r="K3007" s="10"/>
      <c r="L3007" s="10"/>
      <c r="M3007" s="10"/>
      <c r="N3007" s="10"/>
      <c r="O3007" s="3"/>
      <c r="P3007" s="10"/>
    </row>
    <row r="3008" spans="1:16" x14ac:dyDescent="0.15">
      <c r="A3008" s="10"/>
      <c r="B3008" s="3"/>
      <c r="C3008" s="10"/>
      <c r="D3008" s="10"/>
      <c r="E3008" s="10"/>
      <c r="F3008" s="10"/>
      <c r="G3008" s="10"/>
      <c r="H3008" s="10"/>
      <c r="I3008" s="10"/>
      <c r="J3008" s="10"/>
      <c r="K3008" s="10"/>
      <c r="L3008" s="10"/>
      <c r="M3008" s="10"/>
      <c r="N3008" s="10"/>
      <c r="O3008" s="3"/>
      <c r="P3008" s="10"/>
    </row>
    <row r="3009" spans="1:16" x14ac:dyDescent="0.15">
      <c r="A3009" s="10"/>
      <c r="B3009" s="3"/>
      <c r="C3009" s="10"/>
      <c r="D3009" s="10"/>
      <c r="E3009" s="10"/>
      <c r="F3009" s="10"/>
      <c r="G3009" s="10"/>
      <c r="H3009" s="10"/>
      <c r="I3009" s="10"/>
      <c r="J3009" s="10"/>
      <c r="K3009" s="10"/>
      <c r="L3009" s="10"/>
      <c r="M3009" s="10"/>
      <c r="N3009" s="10"/>
      <c r="O3009" s="3"/>
      <c r="P3009" s="10"/>
    </row>
    <row r="3010" spans="1:16" x14ac:dyDescent="0.15">
      <c r="A3010" s="10"/>
      <c r="B3010" s="3"/>
      <c r="C3010" s="10"/>
      <c r="D3010" s="10"/>
      <c r="E3010" s="10"/>
      <c r="F3010" s="10"/>
      <c r="G3010" s="10"/>
      <c r="H3010" s="10"/>
      <c r="I3010" s="10"/>
      <c r="J3010" s="10"/>
      <c r="K3010" s="10"/>
      <c r="L3010" s="10"/>
      <c r="M3010" s="10"/>
      <c r="N3010" s="10"/>
      <c r="O3010" s="3"/>
      <c r="P3010" s="10"/>
    </row>
    <row r="3011" spans="1:16" x14ac:dyDescent="0.15">
      <c r="A3011" s="10"/>
      <c r="B3011" s="3"/>
      <c r="C3011" s="10"/>
      <c r="D3011" s="10"/>
      <c r="E3011" s="10"/>
      <c r="F3011" s="10"/>
      <c r="G3011" s="10"/>
      <c r="H3011" s="10"/>
      <c r="I3011" s="10"/>
      <c r="J3011" s="10"/>
      <c r="K3011" s="10"/>
      <c r="L3011" s="10"/>
      <c r="M3011" s="10"/>
      <c r="N3011" s="10"/>
      <c r="O3011" s="3"/>
      <c r="P3011" s="10"/>
    </row>
    <row r="3012" spans="1:16" x14ac:dyDescent="0.15">
      <c r="A3012" s="10"/>
      <c r="B3012" s="3"/>
      <c r="C3012" s="10"/>
      <c r="D3012" s="10"/>
      <c r="E3012" s="10"/>
      <c r="F3012" s="10"/>
      <c r="G3012" s="10"/>
      <c r="H3012" s="10"/>
      <c r="I3012" s="10"/>
      <c r="J3012" s="10"/>
      <c r="K3012" s="10"/>
      <c r="L3012" s="10"/>
      <c r="M3012" s="10"/>
      <c r="N3012" s="10"/>
      <c r="O3012" s="3"/>
      <c r="P3012" s="10"/>
    </row>
    <row r="3013" spans="1:16" x14ac:dyDescent="0.15">
      <c r="A3013" s="10"/>
      <c r="B3013" s="3"/>
      <c r="C3013" s="10"/>
      <c r="D3013" s="10"/>
      <c r="E3013" s="10"/>
      <c r="F3013" s="10"/>
      <c r="G3013" s="10"/>
      <c r="H3013" s="10"/>
      <c r="I3013" s="10"/>
      <c r="J3013" s="10"/>
      <c r="K3013" s="10"/>
      <c r="L3013" s="10"/>
      <c r="M3013" s="10"/>
      <c r="N3013" s="10"/>
      <c r="O3013" s="3"/>
      <c r="P3013" s="10"/>
    </row>
    <row r="3014" spans="1:16" x14ac:dyDescent="0.15">
      <c r="A3014" s="10"/>
      <c r="B3014" s="3"/>
      <c r="C3014" s="10"/>
      <c r="D3014" s="10"/>
      <c r="E3014" s="10"/>
      <c r="F3014" s="10"/>
      <c r="G3014" s="10"/>
      <c r="H3014" s="10"/>
      <c r="I3014" s="10"/>
      <c r="J3014" s="10"/>
      <c r="K3014" s="10"/>
      <c r="L3014" s="10"/>
      <c r="M3014" s="10"/>
      <c r="N3014" s="10"/>
      <c r="O3014" s="3"/>
      <c r="P3014" s="10"/>
    </row>
    <row r="3015" spans="1:16" x14ac:dyDescent="0.15">
      <c r="A3015" s="10"/>
      <c r="B3015" s="3"/>
      <c r="C3015" s="10"/>
      <c r="D3015" s="10"/>
      <c r="E3015" s="10"/>
      <c r="F3015" s="10"/>
      <c r="G3015" s="10"/>
      <c r="H3015" s="10"/>
      <c r="I3015" s="10"/>
      <c r="J3015" s="10"/>
      <c r="K3015" s="10"/>
      <c r="L3015" s="10"/>
      <c r="M3015" s="10"/>
      <c r="N3015" s="10"/>
      <c r="O3015" s="3"/>
      <c r="P3015" s="10"/>
    </row>
    <row r="3016" spans="1:16" x14ac:dyDescent="0.15">
      <c r="A3016" s="10"/>
      <c r="B3016" s="3"/>
      <c r="C3016" s="10"/>
      <c r="D3016" s="10"/>
      <c r="E3016" s="10"/>
      <c r="F3016" s="10"/>
      <c r="G3016" s="10"/>
      <c r="H3016" s="10"/>
      <c r="I3016" s="10"/>
      <c r="J3016" s="10"/>
      <c r="K3016" s="10"/>
      <c r="L3016" s="10"/>
      <c r="M3016" s="10"/>
      <c r="N3016" s="10"/>
      <c r="O3016" s="3"/>
      <c r="P3016" s="10"/>
    </row>
    <row r="3017" spans="1:16" x14ac:dyDescent="0.15">
      <c r="A3017" s="10"/>
      <c r="B3017" s="3"/>
      <c r="C3017" s="10"/>
      <c r="D3017" s="10"/>
      <c r="E3017" s="10"/>
      <c r="F3017" s="10"/>
      <c r="G3017" s="10"/>
      <c r="H3017" s="10"/>
      <c r="I3017" s="10"/>
      <c r="J3017" s="10"/>
      <c r="K3017" s="10"/>
      <c r="L3017" s="10"/>
      <c r="M3017" s="10"/>
      <c r="N3017" s="10"/>
      <c r="O3017" s="3"/>
      <c r="P3017" s="10"/>
    </row>
    <row r="3018" spans="1:16" x14ac:dyDescent="0.15">
      <c r="A3018" s="10"/>
      <c r="B3018" s="3"/>
      <c r="C3018" s="10"/>
      <c r="D3018" s="10"/>
      <c r="E3018" s="10"/>
      <c r="F3018" s="10"/>
      <c r="G3018" s="10"/>
      <c r="H3018" s="10"/>
      <c r="I3018" s="10"/>
      <c r="J3018" s="10"/>
      <c r="K3018" s="10"/>
      <c r="L3018" s="10"/>
      <c r="M3018" s="10"/>
      <c r="N3018" s="10"/>
      <c r="O3018" s="3"/>
      <c r="P3018" s="10"/>
    </row>
    <row r="3019" spans="1:16" x14ac:dyDescent="0.15">
      <c r="A3019" s="10"/>
      <c r="B3019" s="3"/>
      <c r="C3019" s="10"/>
      <c r="D3019" s="10"/>
      <c r="E3019" s="10"/>
      <c r="F3019" s="10"/>
      <c r="G3019" s="10"/>
      <c r="H3019" s="10"/>
      <c r="I3019" s="10"/>
      <c r="J3019" s="10"/>
      <c r="K3019" s="10"/>
      <c r="L3019" s="10"/>
      <c r="M3019" s="10"/>
      <c r="N3019" s="10"/>
      <c r="O3019" s="3"/>
      <c r="P3019" s="10"/>
    </row>
    <row r="3020" spans="1:16" x14ac:dyDescent="0.15">
      <c r="A3020" s="10"/>
      <c r="B3020" s="3"/>
      <c r="C3020" s="10"/>
      <c r="D3020" s="10"/>
      <c r="E3020" s="10"/>
      <c r="F3020" s="10"/>
      <c r="G3020" s="10"/>
      <c r="H3020" s="10"/>
      <c r="I3020" s="10"/>
      <c r="J3020" s="10"/>
      <c r="K3020" s="10"/>
      <c r="L3020" s="10"/>
      <c r="M3020" s="10"/>
      <c r="N3020" s="10"/>
      <c r="O3020" s="3"/>
      <c r="P3020" s="10"/>
    </row>
    <row r="3021" spans="1:16" x14ac:dyDescent="0.15">
      <c r="A3021" s="10"/>
      <c r="B3021" s="3"/>
      <c r="C3021" s="10"/>
      <c r="D3021" s="10"/>
      <c r="E3021" s="10"/>
      <c r="F3021" s="10"/>
      <c r="G3021" s="10"/>
      <c r="H3021" s="10"/>
      <c r="I3021" s="10"/>
      <c r="J3021" s="10"/>
      <c r="K3021" s="10"/>
      <c r="L3021" s="10"/>
      <c r="M3021" s="10"/>
      <c r="N3021" s="10"/>
      <c r="O3021" s="3"/>
      <c r="P3021" s="10"/>
    </row>
    <row r="3022" spans="1:16" x14ac:dyDescent="0.15">
      <c r="A3022" s="10"/>
      <c r="B3022" s="3"/>
      <c r="C3022" s="10"/>
      <c r="D3022" s="10"/>
      <c r="E3022" s="10"/>
      <c r="F3022" s="10"/>
      <c r="G3022" s="10"/>
      <c r="H3022" s="10"/>
      <c r="I3022" s="10"/>
      <c r="J3022" s="10"/>
      <c r="K3022" s="10"/>
      <c r="L3022" s="10"/>
      <c r="M3022" s="10"/>
      <c r="N3022" s="10"/>
      <c r="O3022" s="3"/>
      <c r="P3022" s="10"/>
    </row>
    <row r="3023" spans="1:16" x14ac:dyDescent="0.15">
      <c r="A3023" s="10"/>
      <c r="B3023" s="3"/>
      <c r="C3023" s="10"/>
      <c r="D3023" s="10"/>
      <c r="E3023" s="10"/>
      <c r="F3023" s="10"/>
      <c r="G3023" s="10"/>
      <c r="H3023" s="10"/>
      <c r="I3023" s="10"/>
      <c r="J3023" s="10"/>
      <c r="K3023" s="10"/>
      <c r="L3023" s="10"/>
      <c r="M3023" s="10"/>
      <c r="N3023" s="10"/>
      <c r="O3023" s="3"/>
      <c r="P3023" s="10"/>
    </row>
    <row r="3024" spans="1:16" x14ac:dyDescent="0.15">
      <c r="A3024" s="10"/>
      <c r="B3024" s="3"/>
      <c r="C3024" s="10"/>
      <c r="D3024" s="10"/>
      <c r="E3024" s="10"/>
      <c r="F3024" s="10"/>
      <c r="G3024" s="10"/>
      <c r="H3024" s="10"/>
      <c r="I3024" s="10"/>
      <c r="J3024" s="10"/>
      <c r="K3024" s="10"/>
      <c r="L3024" s="10"/>
      <c r="M3024" s="10"/>
      <c r="N3024" s="10"/>
      <c r="O3024" s="3"/>
      <c r="P3024" s="10"/>
    </row>
    <row r="3025" spans="1:16" x14ac:dyDescent="0.15">
      <c r="A3025" s="10"/>
      <c r="B3025" s="3"/>
      <c r="C3025" s="10"/>
      <c r="D3025" s="10"/>
      <c r="E3025" s="10"/>
      <c r="F3025" s="10"/>
      <c r="G3025" s="10"/>
      <c r="H3025" s="10"/>
      <c r="I3025" s="10"/>
      <c r="J3025" s="10"/>
      <c r="K3025" s="10"/>
      <c r="L3025" s="10"/>
      <c r="M3025" s="10"/>
      <c r="N3025" s="10"/>
      <c r="O3025" s="3"/>
      <c r="P3025" s="10"/>
    </row>
    <row r="3026" spans="1:16" x14ac:dyDescent="0.15">
      <c r="A3026" s="10"/>
      <c r="B3026" s="3"/>
      <c r="C3026" s="10"/>
      <c r="D3026" s="10"/>
      <c r="E3026" s="10"/>
      <c r="F3026" s="10"/>
      <c r="G3026" s="10"/>
      <c r="H3026" s="10"/>
      <c r="I3026" s="10"/>
      <c r="J3026" s="10"/>
      <c r="K3026" s="10"/>
      <c r="L3026" s="10"/>
      <c r="M3026" s="10"/>
      <c r="N3026" s="10"/>
      <c r="O3026" s="3"/>
      <c r="P3026" s="10"/>
    </row>
    <row r="3027" spans="1:16" x14ac:dyDescent="0.15">
      <c r="A3027" s="10"/>
      <c r="B3027" s="3"/>
      <c r="C3027" s="10"/>
      <c r="D3027" s="10"/>
      <c r="E3027" s="10"/>
      <c r="F3027" s="10"/>
      <c r="G3027" s="10"/>
      <c r="H3027" s="10"/>
      <c r="I3027" s="10"/>
      <c r="J3027" s="10"/>
      <c r="K3027" s="10"/>
      <c r="L3027" s="10"/>
      <c r="M3027" s="10"/>
      <c r="N3027" s="10"/>
      <c r="O3027" s="3"/>
      <c r="P3027" s="10"/>
    </row>
    <row r="3028" spans="1:16" x14ac:dyDescent="0.15">
      <c r="A3028" s="10"/>
      <c r="B3028" s="3"/>
      <c r="C3028" s="10"/>
      <c r="D3028" s="10"/>
      <c r="E3028" s="10"/>
      <c r="F3028" s="10"/>
      <c r="G3028" s="10"/>
      <c r="H3028" s="10"/>
      <c r="I3028" s="10"/>
      <c r="J3028" s="10"/>
      <c r="K3028" s="10"/>
      <c r="L3028" s="10"/>
      <c r="M3028" s="10"/>
      <c r="N3028" s="10"/>
      <c r="O3028" s="3"/>
      <c r="P3028" s="10"/>
    </row>
    <row r="3029" spans="1:16" x14ac:dyDescent="0.15">
      <c r="A3029" s="10"/>
      <c r="B3029" s="3"/>
      <c r="C3029" s="10"/>
      <c r="D3029" s="10"/>
      <c r="E3029" s="10"/>
      <c r="F3029" s="10"/>
      <c r="G3029" s="10"/>
      <c r="H3029" s="10"/>
      <c r="I3029" s="10"/>
      <c r="J3029" s="10"/>
      <c r="K3029" s="10"/>
      <c r="L3029" s="10"/>
      <c r="M3029" s="10"/>
      <c r="N3029" s="10"/>
      <c r="O3029" s="3"/>
      <c r="P3029" s="10"/>
    </row>
    <row r="3030" spans="1:16" x14ac:dyDescent="0.15">
      <c r="A3030" s="10"/>
      <c r="B3030" s="3"/>
      <c r="C3030" s="10"/>
      <c r="D3030" s="10"/>
      <c r="E3030" s="10"/>
      <c r="F3030" s="10"/>
      <c r="G3030" s="10"/>
      <c r="H3030" s="10"/>
      <c r="I3030" s="10"/>
      <c r="J3030" s="10"/>
      <c r="K3030" s="10"/>
      <c r="L3030" s="10"/>
      <c r="M3030" s="10"/>
      <c r="N3030" s="10"/>
      <c r="O3030" s="3"/>
      <c r="P3030" s="10"/>
    </row>
    <row r="3031" spans="1:16" x14ac:dyDescent="0.15">
      <c r="A3031" s="10"/>
      <c r="B3031" s="3"/>
      <c r="C3031" s="10"/>
      <c r="D3031" s="10"/>
      <c r="E3031" s="10"/>
      <c r="F3031" s="10"/>
      <c r="G3031" s="10"/>
      <c r="H3031" s="10"/>
      <c r="I3031" s="10"/>
      <c r="J3031" s="10"/>
      <c r="K3031" s="10"/>
      <c r="L3031" s="10"/>
      <c r="M3031" s="10"/>
      <c r="N3031" s="10"/>
      <c r="O3031" s="3"/>
      <c r="P3031" s="10"/>
    </row>
    <row r="3032" spans="1:16" x14ac:dyDescent="0.15">
      <c r="A3032" s="10"/>
      <c r="B3032" s="3"/>
      <c r="C3032" s="10"/>
      <c r="D3032" s="10"/>
      <c r="E3032" s="10"/>
      <c r="F3032" s="10"/>
      <c r="G3032" s="10"/>
      <c r="H3032" s="10"/>
      <c r="I3032" s="10"/>
      <c r="J3032" s="10"/>
      <c r="K3032" s="10"/>
      <c r="L3032" s="10"/>
      <c r="M3032" s="10"/>
      <c r="N3032" s="10"/>
      <c r="O3032" s="3"/>
      <c r="P3032" s="10"/>
    </row>
    <row r="3033" spans="1:16" x14ac:dyDescent="0.15">
      <c r="A3033" s="10"/>
      <c r="B3033" s="3"/>
      <c r="C3033" s="10"/>
      <c r="D3033" s="10"/>
      <c r="E3033" s="10"/>
      <c r="F3033" s="10"/>
      <c r="G3033" s="10"/>
      <c r="H3033" s="10"/>
      <c r="I3033" s="10"/>
      <c r="J3033" s="10"/>
      <c r="K3033" s="10"/>
      <c r="L3033" s="10"/>
      <c r="M3033" s="10"/>
      <c r="N3033" s="10"/>
      <c r="O3033" s="3"/>
      <c r="P3033" s="10"/>
    </row>
    <row r="3034" spans="1:16" x14ac:dyDescent="0.15">
      <c r="A3034" s="10"/>
      <c r="B3034" s="3"/>
      <c r="C3034" s="10"/>
      <c r="D3034" s="10"/>
      <c r="E3034" s="10"/>
      <c r="F3034" s="10"/>
      <c r="G3034" s="10"/>
      <c r="H3034" s="10"/>
      <c r="I3034" s="10"/>
      <c r="J3034" s="10"/>
      <c r="K3034" s="10"/>
      <c r="L3034" s="10"/>
      <c r="M3034" s="10"/>
      <c r="N3034" s="10"/>
      <c r="O3034" s="3"/>
      <c r="P3034" s="10"/>
    </row>
    <row r="3035" spans="1:16" x14ac:dyDescent="0.15">
      <c r="A3035" s="10"/>
      <c r="B3035" s="3"/>
      <c r="C3035" s="10"/>
      <c r="D3035" s="10"/>
      <c r="E3035" s="10"/>
      <c r="F3035" s="10"/>
      <c r="G3035" s="10"/>
      <c r="H3035" s="10"/>
      <c r="I3035" s="10"/>
      <c r="J3035" s="10"/>
      <c r="K3035" s="10"/>
      <c r="L3035" s="10"/>
      <c r="M3035" s="10"/>
      <c r="N3035" s="10"/>
      <c r="O3035" s="3"/>
      <c r="P3035" s="10"/>
    </row>
    <row r="3036" spans="1:16" x14ac:dyDescent="0.15">
      <c r="A3036" s="10"/>
      <c r="B3036" s="3"/>
      <c r="C3036" s="10"/>
      <c r="D3036" s="10"/>
      <c r="E3036" s="10"/>
      <c r="F3036" s="10"/>
      <c r="G3036" s="10"/>
      <c r="H3036" s="10"/>
      <c r="I3036" s="10"/>
      <c r="J3036" s="10"/>
      <c r="K3036" s="10"/>
      <c r="L3036" s="10"/>
      <c r="M3036" s="10"/>
      <c r="N3036" s="10"/>
      <c r="O3036" s="3"/>
      <c r="P3036" s="10"/>
    </row>
    <row r="3037" spans="1:16" x14ac:dyDescent="0.15">
      <c r="A3037" s="10"/>
      <c r="B3037" s="3"/>
      <c r="C3037" s="10"/>
      <c r="D3037" s="10"/>
      <c r="E3037" s="10"/>
      <c r="F3037" s="10"/>
      <c r="G3037" s="10"/>
      <c r="H3037" s="10"/>
      <c r="I3037" s="10"/>
      <c r="J3037" s="10"/>
      <c r="K3037" s="10"/>
      <c r="L3037" s="10"/>
      <c r="M3037" s="10"/>
      <c r="N3037" s="10"/>
      <c r="O3037" s="3"/>
      <c r="P3037" s="10"/>
    </row>
    <row r="3038" spans="1:16" x14ac:dyDescent="0.15">
      <c r="A3038" s="10"/>
      <c r="B3038" s="3"/>
      <c r="C3038" s="10"/>
      <c r="D3038" s="10"/>
      <c r="E3038" s="10"/>
      <c r="F3038" s="10"/>
      <c r="G3038" s="10"/>
      <c r="H3038" s="10"/>
      <c r="I3038" s="10"/>
      <c r="J3038" s="10"/>
      <c r="K3038" s="10"/>
      <c r="L3038" s="10"/>
      <c r="M3038" s="10"/>
      <c r="N3038" s="10"/>
      <c r="O3038" s="3"/>
      <c r="P3038" s="10"/>
    </row>
    <row r="3039" spans="1:16" x14ac:dyDescent="0.15">
      <c r="A3039" s="10"/>
      <c r="B3039" s="3"/>
      <c r="C3039" s="10"/>
      <c r="D3039" s="10"/>
      <c r="E3039" s="10"/>
      <c r="F3039" s="10"/>
      <c r="G3039" s="10"/>
      <c r="H3039" s="10"/>
      <c r="I3039" s="10"/>
      <c r="J3039" s="10"/>
      <c r="K3039" s="10"/>
      <c r="L3039" s="10"/>
      <c r="M3039" s="10"/>
      <c r="N3039" s="10"/>
      <c r="O3039" s="3"/>
      <c r="P3039" s="10"/>
    </row>
    <row r="3040" spans="1:16" x14ac:dyDescent="0.15">
      <c r="A3040" s="10"/>
      <c r="B3040" s="3"/>
      <c r="C3040" s="10"/>
      <c r="D3040" s="10"/>
      <c r="E3040" s="10"/>
      <c r="F3040" s="10"/>
      <c r="G3040" s="10"/>
      <c r="H3040" s="10"/>
      <c r="I3040" s="10"/>
      <c r="J3040" s="10"/>
      <c r="K3040" s="10"/>
      <c r="L3040" s="10"/>
      <c r="M3040" s="10"/>
      <c r="N3040" s="10"/>
      <c r="O3040" s="3"/>
      <c r="P3040" s="10"/>
    </row>
    <row r="3041" spans="1:16" x14ac:dyDescent="0.15">
      <c r="A3041" s="10"/>
      <c r="B3041" s="3"/>
      <c r="C3041" s="10"/>
      <c r="D3041" s="10"/>
      <c r="E3041" s="10"/>
      <c r="F3041" s="10"/>
      <c r="G3041" s="10"/>
      <c r="H3041" s="10"/>
      <c r="I3041" s="10"/>
      <c r="J3041" s="10"/>
      <c r="K3041" s="10"/>
      <c r="L3041" s="10"/>
      <c r="M3041" s="10"/>
      <c r="N3041" s="10"/>
      <c r="O3041" s="3"/>
      <c r="P3041" s="10"/>
    </row>
    <row r="3042" spans="1:16" x14ac:dyDescent="0.15">
      <c r="A3042" s="10"/>
      <c r="B3042" s="3"/>
      <c r="C3042" s="10"/>
      <c r="D3042" s="10"/>
      <c r="E3042" s="10"/>
      <c r="F3042" s="10"/>
      <c r="G3042" s="10"/>
      <c r="H3042" s="10"/>
      <c r="I3042" s="10"/>
      <c r="J3042" s="10"/>
      <c r="K3042" s="10"/>
      <c r="L3042" s="10"/>
      <c r="M3042" s="10"/>
      <c r="N3042" s="10"/>
      <c r="O3042" s="3"/>
      <c r="P3042" s="10"/>
    </row>
    <row r="3043" spans="1:16" x14ac:dyDescent="0.15">
      <c r="A3043" s="10"/>
      <c r="B3043" s="3"/>
      <c r="C3043" s="10"/>
      <c r="D3043" s="10"/>
      <c r="E3043" s="10"/>
      <c r="F3043" s="10"/>
      <c r="G3043" s="10"/>
      <c r="H3043" s="10"/>
      <c r="I3043" s="10"/>
      <c r="J3043" s="10"/>
      <c r="K3043" s="10"/>
      <c r="L3043" s="10"/>
      <c r="M3043" s="10"/>
      <c r="N3043" s="10"/>
      <c r="O3043" s="3"/>
      <c r="P3043" s="10"/>
    </row>
    <row r="3044" spans="1:16" x14ac:dyDescent="0.15">
      <c r="A3044" s="10"/>
      <c r="B3044" s="3"/>
      <c r="C3044" s="10"/>
      <c r="D3044" s="10"/>
      <c r="E3044" s="10"/>
      <c r="F3044" s="10"/>
      <c r="G3044" s="10"/>
      <c r="H3044" s="10"/>
      <c r="I3044" s="10"/>
      <c r="J3044" s="10"/>
      <c r="K3044" s="10"/>
      <c r="L3044" s="10"/>
      <c r="M3044" s="10"/>
      <c r="N3044" s="10"/>
      <c r="O3044" s="3"/>
      <c r="P3044" s="10"/>
    </row>
    <row r="3045" spans="1:16" x14ac:dyDescent="0.15">
      <c r="A3045" s="10"/>
      <c r="B3045" s="3"/>
      <c r="C3045" s="10"/>
      <c r="D3045" s="10"/>
      <c r="E3045" s="10"/>
      <c r="F3045" s="10"/>
      <c r="G3045" s="10"/>
      <c r="H3045" s="10"/>
      <c r="I3045" s="10"/>
      <c r="J3045" s="10"/>
      <c r="K3045" s="10"/>
      <c r="L3045" s="10"/>
      <c r="M3045" s="10"/>
      <c r="N3045" s="10"/>
      <c r="O3045" s="3"/>
      <c r="P3045" s="10"/>
    </row>
    <row r="3046" spans="1:16" x14ac:dyDescent="0.15">
      <c r="A3046" s="10"/>
      <c r="B3046" s="3"/>
      <c r="C3046" s="10"/>
      <c r="D3046" s="10"/>
      <c r="E3046" s="10"/>
      <c r="F3046" s="10"/>
      <c r="G3046" s="10"/>
      <c r="H3046" s="10"/>
      <c r="I3046" s="10"/>
      <c r="J3046" s="10"/>
      <c r="K3046" s="10"/>
      <c r="L3046" s="10"/>
      <c r="M3046" s="10"/>
      <c r="N3046" s="10"/>
      <c r="O3046" s="3"/>
      <c r="P3046" s="10"/>
    </row>
    <row r="3047" spans="1:16" x14ac:dyDescent="0.15">
      <c r="A3047" s="10"/>
      <c r="B3047" s="3"/>
      <c r="C3047" s="10"/>
      <c r="D3047" s="10"/>
      <c r="E3047" s="10"/>
      <c r="F3047" s="10"/>
      <c r="G3047" s="10"/>
      <c r="H3047" s="10"/>
      <c r="I3047" s="10"/>
      <c r="J3047" s="10"/>
      <c r="K3047" s="10"/>
      <c r="L3047" s="10"/>
      <c r="M3047" s="10"/>
      <c r="N3047" s="10"/>
      <c r="O3047" s="3"/>
      <c r="P3047" s="10"/>
    </row>
    <row r="3048" spans="1:16" x14ac:dyDescent="0.15">
      <c r="A3048" s="10"/>
      <c r="B3048" s="3"/>
      <c r="C3048" s="10"/>
      <c r="D3048" s="10"/>
      <c r="E3048" s="10"/>
      <c r="F3048" s="10"/>
      <c r="G3048" s="10"/>
      <c r="H3048" s="10"/>
      <c r="I3048" s="10"/>
      <c r="J3048" s="10"/>
      <c r="K3048" s="10"/>
      <c r="L3048" s="10"/>
      <c r="M3048" s="10"/>
      <c r="N3048" s="10"/>
      <c r="O3048" s="3"/>
      <c r="P3048" s="10"/>
    </row>
    <row r="3049" spans="1:16" x14ac:dyDescent="0.15">
      <c r="A3049" s="10"/>
      <c r="B3049" s="3"/>
      <c r="C3049" s="10"/>
      <c r="D3049" s="10"/>
      <c r="E3049" s="10"/>
      <c r="F3049" s="10"/>
      <c r="G3049" s="10"/>
      <c r="H3049" s="10"/>
      <c r="I3049" s="10"/>
      <c r="J3049" s="10"/>
      <c r="K3049" s="10"/>
      <c r="L3049" s="10"/>
      <c r="M3049" s="10"/>
      <c r="N3049" s="10"/>
      <c r="O3049" s="3"/>
      <c r="P3049" s="10"/>
    </row>
    <row r="3050" spans="1:16" x14ac:dyDescent="0.15">
      <c r="A3050" s="10"/>
      <c r="B3050" s="3"/>
      <c r="C3050" s="10"/>
      <c r="D3050" s="10"/>
      <c r="E3050" s="10"/>
      <c r="F3050" s="10"/>
      <c r="G3050" s="10"/>
      <c r="H3050" s="10"/>
      <c r="I3050" s="10"/>
      <c r="J3050" s="10"/>
      <c r="K3050" s="10"/>
      <c r="L3050" s="10"/>
      <c r="M3050" s="10"/>
      <c r="N3050" s="10"/>
      <c r="O3050" s="3"/>
      <c r="P3050" s="10"/>
    </row>
    <row r="3051" spans="1:16" x14ac:dyDescent="0.15">
      <c r="A3051" s="10"/>
      <c r="B3051" s="3"/>
      <c r="C3051" s="10"/>
      <c r="D3051" s="10"/>
      <c r="E3051" s="10"/>
      <c r="F3051" s="10"/>
      <c r="G3051" s="10"/>
      <c r="H3051" s="10"/>
      <c r="I3051" s="10"/>
      <c r="J3051" s="10"/>
      <c r="K3051" s="10"/>
      <c r="L3051" s="10"/>
      <c r="M3051" s="10"/>
      <c r="N3051" s="10"/>
      <c r="O3051" s="3"/>
      <c r="P3051" s="10"/>
    </row>
    <row r="3052" spans="1:16" x14ac:dyDescent="0.15">
      <c r="A3052" s="10"/>
      <c r="B3052" s="3"/>
      <c r="C3052" s="10"/>
      <c r="D3052" s="10"/>
      <c r="E3052" s="10"/>
      <c r="F3052" s="10"/>
      <c r="G3052" s="10"/>
      <c r="H3052" s="10"/>
      <c r="I3052" s="10"/>
      <c r="J3052" s="10"/>
      <c r="K3052" s="10"/>
      <c r="L3052" s="10"/>
      <c r="M3052" s="10"/>
      <c r="N3052" s="10"/>
      <c r="O3052" s="3"/>
      <c r="P3052" s="10"/>
    </row>
    <row r="3053" spans="1:16" x14ac:dyDescent="0.15">
      <c r="A3053" s="10"/>
      <c r="B3053" s="3"/>
      <c r="C3053" s="10"/>
      <c r="D3053" s="10"/>
      <c r="E3053" s="10"/>
      <c r="F3053" s="10"/>
      <c r="G3053" s="10"/>
      <c r="H3053" s="10"/>
      <c r="I3053" s="10"/>
      <c r="J3053" s="10"/>
      <c r="K3053" s="10"/>
      <c r="L3053" s="10"/>
      <c r="M3053" s="10"/>
      <c r="N3053" s="10"/>
      <c r="O3053" s="3"/>
      <c r="P3053" s="10"/>
    </row>
    <row r="3054" spans="1:16" x14ac:dyDescent="0.15">
      <c r="A3054" s="10"/>
      <c r="B3054" s="3"/>
      <c r="C3054" s="10"/>
      <c r="D3054" s="10"/>
      <c r="E3054" s="10"/>
      <c r="F3054" s="10"/>
      <c r="G3054" s="10"/>
      <c r="H3054" s="10"/>
      <c r="I3054" s="10"/>
      <c r="J3054" s="10"/>
      <c r="K3054" s="10"/>
      <c r="L3054" s="10"/>
      <c r="M3054" s="10"/>
      <c r="N3054" s="10"/>
      <c r="O3054" s="3"/>
      <c r="P3054" s="10"/>
    </row>
    <row r="3055" spans="1:16" x14ac:dyDescent="0.15">
      <c r="A3055" s="10"/>
      <c r="B3055" s="3"/>
      <c r="C3055" s="10"/>
      <c r="D3055" s="10"/>
      <c r="E3055" s="10"/>
      <c r="F3055" s="10"/>
      <c r="G3055" s="10"/>
      <c r="H3055" s="10"/>
      <c r="I3055" s="10"/>
      <c r="J3055" s="10"/>
      <c r="K3055" s="10"/>
      <c r="L3055" s="10"/>
      <c r="M3055" s="10"/>
      <c r="N3055" s="10"/>
      <c r="O3055" s="3"/>
      <c r="P3055" s="10"/>
    </row>
    <row r="3056" spans="1:16" x14ac:dyDescent="0.15">
      <c r="A3056" s="10"/>
      <c r="B3056" s="3"/>
      <c r="C3056" s="10"/>
      <c r="D3056" s="10"/>
      <c r="E3056" s="10"/>
      <c r="F3056" s="10"/>
      <c r="G3056" s="10"/>
      <c r="H3056" s="10"/>
      <c r="I3056" s="10"/>
      <c r="J3056" s="10"/>
      <c r="K3056" s="10"/>
      <c r="L3056" s="10"/>
      <c r="M3056" s="10"/>
      <c r="N3056" s="10"/>
      <c r="O3056" s="3"/>
      <c r="P3056" s="10"/>
    </row>
    <row r="3057" spans="1:16" x14ac:dyDescent="0.15">
      <c r="A3057" s="10"/>
      <c r="B3057" s="3"/>
      <c r="C3057" s="10"/>
      <c r="D3057" s="10"/>
      <c r="E3057" s="10"/>
      <c r="F3057" s="10"/>
      <c r="G3057" s="10"/>
      <c r="H3057" s="10"/>
      <c r="I3057" s="10"/>
      <c r="J3057" s="10"/>
      <c r="K3057" s="10"/>
      <c r="L3057" s="10"/>
      <c r="M3057" s="10"/>
      <c r="N3057" s="10"/>
      <c r="O3057" s="3"/>
      <c r="P3057" s="10"/>
    </row>
    <row r="3058" spans="1:16" x14ac:dyDescent="0.15">
      <c r="A3058" s="10"/>
      <c r="B3058" s="3"/>
      <c r="C3058" s="10"/>
      <c r="D3058" s="10"/>
      <c r="E3058" s="10"/>
      <c r="F3058" s="10"/>
      <c r="G3058" s="10"/>
      <c r="H3058" s="10"/>
      <c r="I3058" s="10"/>
      <c r="J3058" s="10"/>
      <c r="K3058" s="10"/>
      <c r="L3058" s="10"/>
      <c r="M3058" s="10"/>
      <c r="N3058" s="10"/>
      <c r="O3058" s="3"/>
      <c r="P3058" s="10"/>
    </row>
    <row r="3059" spans="1:16" x14ac:dyDescent="0.15">
      <c r="A3059" s="10"/>
      <c r="B3059" s="3"/>
      <c r="C3059" s="10"/>
      <c r="D3059" s="10"/>
      <c r="E3059" s="10"/>
      <c r="F3059" s="10"/>
      <c r="G3059" s="10"/>
      <c r="H3059" s="10"/>
      <c r="I3059" s="10"/>
      <c r="J3059" s="10"/>
      <c r="K3059" s="10"/>
      <c r="L3059" s="10"/>
      <c r="M3059" s="10"/>
      <c r="N3059" s="10"/>
      <c r="O3059" s="3"/>
      <c r="P3059" s="10"/>
    </row>
    <row r="3060" spans="1:16" x14ac:dyDescent="0.15">
      <c r="A3060" s="10"/>
      <c r="B3060" s="3"/>
      <c r="C3060" s="10"/>
      <c r="D3060" s="10"/>
      <c r="E3060" s="10"/>
      <c r="F3060" s="10"/>
      <c r="G3060" s="10"/>
      <c r="H3060" s="10"/>
      <c r="I3060" s="10"/>
      <c r="J3060" s="10"/>
      <c r="K3060" s="10"/>
      <c r="L3060" s="10"/>
      <c r="M3060" s="10"/>
      <c r="N3060" s="10"/>
      <c r="O3060" s="3"/>
      <c r="P3060" s="10"/>
    </row>
    <row r="3061" spans="1:16" x14ac:dyDescent="0.15">
      <c r="A3061" s="10"/>
      <c r="B3061" s="3"/>
      <c r="C3061" s="10"/>
      <c r="D3061" s="10"/>
      <c r="E3061" s="10"/>
      <c r="F3061" s="10"/>
      <c r="G3061" s="10"/>
      <c r="H3061" s="10"/>
      <c r="I3061" s="10"/>
      <c r="J3061" s="10"/>
      <c r="K3061" s="10"/>
      <c r="L3061" s="10"/>
      <c r="M3061" s="10"/>
      <c r="N3061" s="10"/>
      <c r="O3061" s="3"/>
      <c r="P3061" s="10"/>
    </row>
    <row r="3062" spans="1:16" x14ac:dyDescent="0.15">
      <c r="A3062" s="10"/>
      <c r="B3062" s="3"/>
      <c r="C3062" s="10"/>
      <c r="D3062" s="10"/>
      <c r="E3062" s="10"/>
      <c r="F3062" s="10"/>
      <c r="G3062" s="10"/>
      <c r="H3062" s="10"/>
      <c r="I3062" s="10"/>
      <c r="J3062" s="10"/>
      <c r="K3062" s="10"/>
      <c r="L3062" s="10"/>
      <c r="M3062" s="10"/>
      <c r="N3062" s="10"/>
      <c r="O3062" s="3"/>
      <c r="P3062" s="10"/>
    </row>
    <row r="3063" spans="1:16" x14ac:dyDescent="0.15">
      <c r="A3063" s="10"/>
      <c r="B3063" s="3"/>
      <c r="C3063" s="10"/>
      <c r="D3063" s="10"/>
      <c r="E3063" s="10"/>
      <c r="F3063" s="10"/>
      <c r="G3063" s="10"/>
      <c r="H3063" s="10"/>
      <c r="I3063" s="10"/>
      <c r="J3063" s="10"/>
      <c r="K3063" s="10"/>
      <c r="L3063" s="10"/>
      <c r="M3063" s="10"/>
      <c r="N3063" s="10"/>
      <c r="O3063" s="3"/>
      <c r="P3063" s="10"/>
    </row>
    <row r="3064" spans="1:16" x14ac:dyDescent="0.15">
      <c r="A3064" s="10"/>
      <c r="B3064" s="3"/>
      <c r="C3064" s="10"/>
      <c r="D3064" s="10"/>
      <c r="E3064" s="10"/>
      <c r="F3064" s="10"/>
      <c r="G3064" s="10"/>
      <c r="H3064" s="10"/>
      <c r="I3064" s="10"/>
      <c r="J3064" s="10"/>
      <c r="K3064" s="10"/>
      <c r="L3064" s="10"/>
      <c r="M3064" s="10"/>
      <c r="N3064" s="10"/>
      <c r="O3064" s="3"/>
      <c r="P3064" s="10"/>
    </row>
    <row r="3065" spans="1:16" x14ac:dyDescent="0.15">
      <c r="A3065" s="10"/>
      <c r="B3065" s="3"/>
      <c r="C3065" s="10"/>
      <c r="D3065" s="10"/>
      <c r="E3065" s="10"/>
      <c r="F3065" s="10"/>
      <c r="G3065" s="10"/>
      <c r="H3065" s="10"/>
      <c r="I3065" s="10"/>
      <c r="J3065" s="10"/>
      <c r="K3065" s="10"/>
      <c r="L3065" s="10"/>
      <c r="M3065" s="10"/>
      <c r="N3065" s="10"/>
      <c r="O3065" s="3"/>
      <c r="P3065" s="10"/>
    </row>
    <row r="3066" spans="1:16" x14ac:dyDescent="0.15">
      <c r="A3066" s="10"/>
      <c r="B3066" s="3"/>
      <c r="C3066" s="10"/>
      <c r="D3066" s="10"/>
      <c r="E3066" s="10"/>
      <c r="F3066" s="10"/>
      <c r="G3066" s="10"/>
      <c r="H3066" s="10"/>
      <c r="I3066" s="10"/>
      <c r="J3066" s="10"/>
      <c r="K3066" s="10"/>
      <c r="L3066" s="10"/>
      <c r="M3066" s="10"/>
      <c r="N3066" s="10"/>
      <c r="O3066" s="3"/>
      <c r="P3066" s="10"/>
    </row>
    <row r="3067" spans="1:16" x14ac:dyDescent="0.15">
      <c r="A3067" s="10"/>
      <c r="B3067" s="3"/>
      <c r="C3067" s="10"/>
      <c r="D3067" s="10"/>
      <c r="E3067" s="10"/>
      <c r="F3067" s="10"/>
      <c r="G3067" s="10"/>
      <c r="H3067" s="10"/>
      <c r="I3067" s="10"/>
      <c r="J3067" s="10"/>
      <c r="K3067" s="10"/>
      <c r="L3067" s="10"/>
      <c r="M3067" s="10"/>
      <c r="N3067" s="10"/>
      <c r="O3067" s="3"/>
      <c r="P3067" s="10"/>
    </row>
    <row r="3068" spans="1:16" x14ac:dyDescent="0.15">
      <c r="A3068" s="10"/>
      <c r="B3068" s="3"/>
      <c r="C3068" s="10"/>
      <c r="D3068" s="10"/>
      <c r="E3068" s="10"/>
      <c r="F3068" s="10"/>
      <c r="G3068" s="10"/>
      <c r="H3068" s="10"/>
      <c r="I3068" s="10"/>
      <c r="J3068" s="10"/>
      <c r="K3068" s="10"/>
      <c r="L3068" s="10"/>
      <c r="M3068" s="10"/>
      <c r="N3068" s="10"/>
      <c r="O3068" s="3"/>
      <c r="P3068" s="10"/>
    </row>
    <row r="3069" spans="1:16" x14ac:dyDescent="0.15">
      <c r="A3069" s="10"/>
      <c r="B3069" s="3"/>
      <c r="C3069" s="10"/>
      <c r="D3069" s="10"/>
      <c r="E3069" s="10"/>
      <c r="F3069" s="10"/>
      <c r="G3069" s="10"/>
      <c r="H3069" s="10"/>
      <c r="I3069" s="10"/>
      <c r="J3069" s="10"/>
      <c r="K3069" s="10"/>
      <c r="L3069" s="10"/>
      <c r="M3069" s="10"/>
      <c r="N3069" s="10"/>
      <c r="O3069" s="3"/>
      <c r="P3069" s="10"/>
    </row>
  </sheetData>
  <phoneticPr fontId="0" type="noConversion"/>
  <pageMargins left="0.4" right="0.38" top="0.62" bottom="0.52" header="0.5" footer="0.25"/>
  <pageSetup scale="80" orientation="landscape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C0E92-5BA3-474A-9772-271F5785F4D4}">
  <dimension ref="A1:K101"/>
  <sheetViews>
    <sheetView showGridLines="0" zoomScaleNormal="100" workbookViewId="0">
      <pane ySplit="2" topLeftCell="A3" activePane="bottomLeft" state="frozen"/>
      <selection activeCell="R26" sqref="R26"/>
      <selection pane="bottomLeft" activeCell="R26" sqref="R26"/>
    </sheetView>
  </sheetViews>
  <sheetFormatPr baseColWidth="10" defaultColWidth="8.83203125" defaultRowHeight="13" x14ac:dyDescent="0.15"/>
  <cols>
    <col min="1" max="1" width="47.83203125" customWidth="1"/>
    <col min="2" max="2" width="13.33203125" customWidth="1"/>
    <col min="3" max="3" width="13.1640625" style="152" customWidth="1"/>
    <col min="4" max="4" width="12.6640625" style="4" customWidth="1"/>
    <col min="5" max="5" width="14.5" style="4" customWidth="1"/>
    <col min="6" max="6" width="54.1640625" customWidth="1"/>
    <col min="7" max="7" width="0" hidden="1" customWidth="1"/>
    <col min="8" max="8" width="11.33203125" hidden="1" customWidth="1"/>
  </cols>
  <sheetData>
    <row r="1" spans="1:11" ht="30" customHeight="1" thickBot="1" x14ac:dyDescent="0.2">
      <c r="A1" s="113" t="s">
        <v>90</v>
      </c>
      <c r="B1" s="102" t="s">
        <v>89</v>
      </c>
      <c r="C1" s="135" t="s">
        <v>109</v>
      </c>
      <c r="D1" s="109" t="s">
        <v>110</v>
      </c>
      <c r="E1" s="109" t="s">
        <v>106</v>
      </c>
      <c r="F1" s="114" t="s">
        <v>93</v>
      </c>
      <c r="I1" s="30"/>
      <c r="J1" s="30"/>
      <c r="K1" s="30"/>
    </row>
    <row r="2" spans="1:11" ht="15.75" customHeight="1" thickBot="1" x14ac:dyDescent="0.25">
      <c r="A2" s="127" t="s">
        <v>111</v>
      </c>
      <c r="B2" s="110"/>
      <c r="C2" s="136" t="s">
        <v>94</v>
      </c>
      <c r="D2" s="111"/>
      <c r="E2" s="111"/>
      <c r="F2" s="115"/>
      <c r="I2" s="30"/>
      <c r="J2" s="30"/>
      <c r="K2" s="30"/>
    </row>
    <row r="3" spans="1:11" x14ac:dyDescent="0.15">
      <c r="A3" s="70" t="s">
        <v>62</v>
      </c>
      <c r="B3" s="62"/>
      <c r="C3" s="137"/>
      <c r="D3" s="128"/>
      <c r="E3" s="128"/>
      <c r="F3" s="101"/>
      <c r="I3" s="30"/>
      <c r="J3" s="30"/>
      <c r="K3" s="30"/>
    </row>
    <row r="4" spans="1:11" x14ac:dyDescent="0.15">
      <c r="A4" s="71" t="s">
        <v>60</v>
      </c>
      <c r="B4" s="153">
        <f>'2. Monthly Worksheet'!B4</f>
        <v>180000</v>
      </c>
      <c r="C4" s="153">
        <f>'2. Monthly Worksheet'!O4</f>
        <v>198000</v>
      </c>
      <c r="D4" s="118">
        <f>IF(G4=0,G4,(C4/$C$95))</f>
        <v>0.21232333197503592</v>
      </c>
      <c r="E4" s="119">
        <f>IF(H4=0,0,((C4-B4)/B4))</f>
        <v>0.1</v>
      </c>
      <c r="F4" s="41"/>
      <c r="G4" s="7">
        <f>$C$95</f>
        <v>932540</v>
      </c>
      <c r="H4" s="7">
        <f>B4</f>
        <v>180000</v>
      </c>
      <c r="I4" s="30"/>
      <c r="J4" s="30"/>
      <c r="K4" s="30"/>
    </row>
    <row r="5" spans="1:11" x14ac:dyDescent="0.15">
      <c r="A5" s="71" t="s">
        <v>61</v>
      </c>
      <c r="B5" s="153">
        <f>'2. Monthly Worksheet'!B5</f>
        <v>20000</v>
      </c>
      <c r="C5" s="153">
        <f>'2. Monthly Worksheet'!O5</f>
        <v>0</v>
      </c>
      <c r="D5" s="118">
        <f>IF(G5=0,G5,(C5/$C$95))</f>
        <v>0</v>
      </c>
      <c r="E5" s="119">
        <f t="shared" ref="E5:E20" si="0">IF(H5=0,0,((C5-B5)/B5))</f>
        <v>-1</v>
      </c>
      <c r="F5" s="41"/>
      <c r="G5" s="7">
        <f t="shared" ref="G5:G69" si="1">$C$95</f>
        <v>932540</v>
      </c>
      <c r="H5" s="7">
        <f t="shared" ref="H5:H69" si="2">B5</f>
        <v>20000</v>
      </c>
      <c r="I5" s="30"/>
      <c r="J5" s="30"/>
      <c r="K5" s="30"/>
    </row>
    <row r="6" spans="1:11" x14ac:dyDescent="0.15">
      <c r="A6" s="71" t="s">
        <v>33</v>
      </c>
      <c r="B6" s="154">
        <f>'2. Monthly Worksheet'!B6</f>
        <v>0</v>
      </c>
      <c r="C6" s="154">
        <f>'2. Monthly Worksheet'!O6</f>
        <v>0</v>
      </c>
      <c r="D6" s="120">
        <f>IF(G6=0,G6,(C6/$C$95))</f>
        <v>0</v>
      </c>
      <c r="E6" s="121">
        <f t="shared" si="0"/>
        <v>0</v>
      </c>
      <c r="F6" s="41"/>
      <c r="G6" s="7">
        <f t="shared" si="1"/>
        <v>932540</v>
      </c>
      <c r="H6" s="7">
        <f t="shared" si="2"/>
        <v>0</v>
      </c>
      <c r="I6" s="30"/>
      <c r="J6" s="30"/>
      <c r="K6" s="30"/>
    </row>
    <row r="7" spans="1:11" s="1" customFormat="1" x14ac:dyDescent="0.15">
      <c r="A7" s="55" t="s">
        <v>92</v>
      </c>
      <c r="B7" s="156">
        <f>SUM(B4:B6)</f>
        <v>200000</v>
      </c>
      <c r="C7" s="138">
        <f>SUM(C4:C6)</f>
        <v>198000</v>
      </c>
      <c r="D7" s="122">
        <f>IF(G7=0,G7,(C7/$C$95))</f>
        <v>0.21232333197503592</v>
      </c>
      <c r="E7" s="123">
        <f t="shared" si="0"/>
        <v>-0.01</v>
      </c>
      <c r="F7" s="41"/>
      <c r="G7" s="7">
        <f t="shared" si="1"/>
        <v>932540</v>
      </c>
      <c r="H7" s="7">
        <f t="shared" si="2"/>
        <v>200000</v>
      </c>
      <c r="I7" s="39"/>
      <c r="J7" s="39"/>
      <c r="K7" s="39"/>
    </row>
    <row r="8" spans="1:11" s="1" customFormat="1" x14ac:dyDescent="0.15">
      <c r="A8" s="55"/>
      <c r="B8" s="65"/>
      <c r="C8" s="139"/>
      <c r="D8" s="129"/>
      <c r="E8" s="129"/>
      <c r="F8" s="41"/>
      <c r="G8" s="7">
        <f t="shared" si="1"/>
        <v>932540</v>
      </c>
      <c r="H8" s="7">
        <f t="shared" si="2"/>
        <v>0</v>
      </c>
      <c r="I8" s="39"/>
      <c r="J8" s="39"/>
      <c r="K8" s="39"/>
    </row>
    <row r="9" spans="1:11" x14ac:dyDescent="0.15">
      <c r="A9" s="55" t="s">
        <v>2</v>
      </c>
      <c r="B9" s="57"/>
      <c r="C9" s="140"/>
      <c r="D9" s="116"/>
      <c r="E9" s="116"/>
      <c r="F9" s="41"/>
      <c r="G9" s="7">
        <f t="shared" si="1"/>
        <v>932540</v>
      </c>
      <c r="H9" s="7">
        <f t="shared" si="2"/>
        <v>0</v>
      </c>
      <c r="I9" s="30"/>
      <c r="J9" s="30"/>
      <c r="K9" s="30"/>
    </row>
    <row r="10" spans="1:11" x14ac:dyDescent="0.15">
      <c r="A10" s="55" t="s">
        <v>3</v>
      </c>
      <c r="B10" s="130"/>
      <c r="C10" s="141"/>
      <c r="D10" s="131"/>
      <c r="E10" s="131"/>
      <c r="F10" s="41"/>
      <c r="G10" s="7">
        <f t="shared" si="1"/>
        <v>932540</v>
      </c>
      <c r="H10" s="7">
        <f t="shared" si="2"/>
        <v>0</v>
      </c>
      <c r="I10" s="30"/>
      <c r="J10" s="30"/>
      <c r="K10" s="30"/>
    </row>
    <row r="11" spans="1:11" x14ac:dyDescent="0.15">
      <c r="A11" s="71" t="s">
        <v>4</v>
      </c>
      <c r="B11" s="90"/>
      <c r="C11" s="124"/>
      <c r="D11" s="118"/>
      <c r="E11" s="119">
        <f t="shared" si="0"/>
        <v>0</v>
      </c>
      <c r="F11" s="41"/>
      <c r="G11" s="7">
        <f t="shared" si="1"/>
        <v>932540</v>
      </c>
      <c r="H11" s="7">
        <f t="shared" si="2"/>
        <v>0</v>
      </c>
      <c r="I11" s="30"/>
      <c r="J11" s="30"/>
      <c r="K11" s="30"/>
    </row>
    <row r="12" spans="1:11" x14ac:dyDescent="0.15">
      <c r="A12" s="71" t="s">
        <v>5</v>
      </c>
      <c r="B12" s="90"/>
      <c r="C12" s="124"/>
      <c r="D12" s="118"/>
      <c r="E12" s="119">
        <f t="shared" si="0"/>
        <v>0</v>
      </c>
      <c r="F12" s="41"/>
      <c r="G12" s="7">
        <f t="shared" si="1"/>
        <v>932540</v>
      </c>
      <c r="H12" s="7">
        <f t="shared" si="2"/>
        <v>0</v>
      </c>
      <c r="I12" s="30"/>
      <c r="J12" s="30"/>
      <c r="K12" s="30"/>
    </row>
    <row r="13" spans="1:11" x14ac:dyDescent="0.15">
      <c r="A13" s="71" t="s">
        <v>6</v>
      </c>
      <c r="B13" s="49"/>
      <c r="C13" s="134"/>
      <c r="D13" s="120"/>
      <c r="E13" s="121">
        <f t="shared" si="0"/>
        <v>0</v>
      </c>
      <c r="F13" s="41"/>
      <c r="G13" s="7">
        <f t="shared" si="1"/>
        <v>932540</v>
      </c>
      <c r="H13" s="7">
        <f t="shared" si="2"/>
        <v>0</v>
      </c>
      <c r="I13" s="30"/>
      <c r="J13" s="30"/>
      <c r="K13" s="30"/>
    </row>
    <row r="14" spans="1:11" s="1" customFormat="1" x14ac:dyDescent="0.15">
      <c r="A14" s="55" t="s">
        <v>7</v>
      </c>
      <c r="B14" s="91">
        <f>SUM(B11:B13)</f>
        <v>0</v>
      </c>
      <c r="C14" s="142">
        <f>SUM(C11:C13)</f>
        <v>0</v>
      </c>
      <c r="D14" s="122"/>
      <c r="E14" s="123">
        <f t="shared" si="0"/>
        <v>0</v>
      </c>
      <c r="F14" s="41"/>
      <c r="G14" s="7">
        <f t="shared" si="1"/>
        <v>932540</v>
      </c>
      <c r="H14" s="7">
        <f t="shared" si="2"/>
        <v>0</v>
      </c>
      <c r="I14" s="39"/>
      <c r="J14" s="39"/>
      <c r="K14" s="39"/>
    </row>
    <row r="15" spans="1:11" s="1" customFormat="1" x14ac:dyDescent="0.15">
      <c r="A15" s="55"/>
      <c r="B15" s="59"/>
      <c r="C15" s="143"/>
      <c r="D15" s="132"/>
      <c r="E15" s="132"/>
      <c r="F15" s="41"/>
      <c r="G15" s="7"/>
      <c r="H15" s="7"/>
      <c r="I15" s="39"/>
      <c r="J15" s="39"/>
      <c r="K15" s="39"/>
    </row>
    <row r="16" spans="1:11" x14ac:dyDescent="0.15">
      <c r="A16" s="55" t="s">
        <v>121</v>
      </c>
      <c r="B16" s="57"/>
      <c r="C16" s="140"/>
      <c r="D16" s="116"/>
      <c r="E16" s="116"/>
      <c r="F16" s="41"/>
      <c r="G16" s="7">
        <f t="shared" si="1"/>
        <v>932540</v>
      </c>
      <c r="H16" s="7">
        <f t="shared" si="2"/>
        <v>0</v>
      </c>
      <c r="I16" s="30"/>
      <c r="J16" s="30"/>
      <c r="K16" s="30"/>
    </row>
    <row r="17" spans="1:11" x14ac:dyDescent="0.15">
      <c r="A17" s="55" t="s">
        <v>8</v>
      </c>
      <c r="B17" s="60"/>
      <c r="C17" s="144"/>
      <c r="D17" s="131"/>
      <c r="E17" s="131"/>
      <c r="F17" s="41"/>
      <c r="G17" s="7">
        <f t="shared" si="1"/>
        <v>932540</v>
      </c>
      <c r="H17" s="7">
        <f t="shared" si="2"/>
        <v>0</v>
      </c>
      <c r="I17" s="30"/>
      <c r="J17" s="30"/>
      <c r="K17" s="30"/>
    </row>
    <row r="18" spans="1:11" x14ac:dyDescent="0.15">
      <c r="A18" s="71" t="s">
        <v>9</v>
      </c>
      <c r="B18" s="153">
        <f>'2. Monthly Worksheet'!B18</f>
        <v>325000</v>
      </c>
      <c r="C18" s="153">
        <f>'2. Monthly Worksheet'!O18</f>
        <v>356400</v>
      </c>
      <c r="D18" s="118">
        <f>IF(G18=0,G18,(C18/$C$95))</f>
        <v>0.38218199755506466</v>
      </c>
      <c r="E18" s="119">
        <f t="shared" si="0"/>
        <v>9.6615384615384617E-2</v>
      </c>
      <c r="F18" s="41"/>
      <c r="G18" s="7">
        <f t="shared" si="1"/>
        <v>932540</v>
      </c>
      <c r="H18" s="7">
        <f t="shared" si="2"/>
        <v>325000</v>
      </c>
      <c r="I18" s="30"/>
      <c r="J18" s="30"/>
      <c r="K18" s="30"/>
    </row>
    <row r="19" spans="1:11" x14ac:dyDescent="0.15">
      <c r="A19" s="71" t="s">
        <v>10</v>
      </c>
      <c r="B19" s="153">
        <f>'2. Monthly Worksheet'!B19</f>
        <v>0</v>
      </c>
      <c r="C19" s="153">
        <f>'2. Monthly Worksheet'!O19</f>
        <v>0</v>
      </c>
      <c r="D19" s="118">
        <f>IF(G19=0,G19,(C19/$C$95))</f>
        <v>0</v>
      </c>
      <c r="E19" s="119">
        <f t="shared" si="0"/>
        <v>0</v>
      </c>
      <c r="F19" s="41"/>
      <c r="G19" s="7">
        <f t="shared" si="1"/>
        <v>932540</v>
      </c>
      <c r="H19" s="7">
        <f t="shared" si="2"/>
        <v>0</v>
      </c>
      <c r="I19" s="30"/>
      <c r="J19" s="30"/>
      <c r="K19" s="30"/>
    </row>
    <row r="20" spans="1:11" x14ac:dyDescent="0.15">
      <c r="A20" s="71" t="s">
        <v>15</v>
      </c>
      <c r="B20" s="153">
        <f>'2. Monthly Worksheet'!B20</f>
        <v>40000</v>
      </c>
      <c r="C20" s="153">
        <f>'2. Monthly Worksheet'!O20</f>
        <v>0</v>
      </c>
      <c r="D20" s="118">
        <f>IF(G20=0,G20,(C20/$C$95))</f>
        <v>0</v>
      </c>
      <c r="E20" s="119">
        <f t="shared" si="0"/>
        <v>-1</v>
      </c>
      <c r="F20" s="41"/>
      <c r="G20" s="7">
        <f t="shared" si="1"/>
        <v>932540</v>
      </c>
      <c r="H20" s="7">
        <f t="shared" si="2"/>
        <v>40000</v>
      </c>
      <c r="I20" s="30"/>
      <c r="J20" s="30"/>
      <c r="K20" s="30"/>
    </row>
    <row r="21" spans="1:11" x14ac:dyDescent="0.15">
      <c r="A21" s="71" t="s">
        <v>11</v>
      </c>
      <c r="B21" s="153">
        <f>'2. Monthly Worksheet'!B21</f>
        <v>0</v>
      </c>
      <c r="C21" s="153">
        <f>'2. Monthly Worksheet'!O21</f>
        <v>8640</v>
      </c>
      <c r="D21" s="118">
        <f t="shared" ref="D21:D84" si="3">IF(G21=0,G21,(C21/$C$95))</f>
        <v>9.2650181225470227E-3</v>
      </c>
      <c r="E21" s="119">
        <f t="shared" ref="E21:E84" si="4">IF(H21=0,0,((C21-B21)/B21))</f>
        <v>0</v>
      </c>
      <c r="F21" s="41"/>
      <c r="G21" s="7">
        <f t="shared" si="1"/>
        <v>932540</v>
      </c>
      <c r="H21" s="7">
        <f t="shared" si="2"/>
        <v>0</v>
      </c>
      <c r="I21" s="30"/>
      <c r="J21" s="30"/>
      <c r="K21" s="30"/>
    </row>
    <row r="22" spans="1:11" x14ac:dyDescent="0.15">
      <c r="A22" s="71" t="s">
        <v>12</v>
      </c>
      <c r="B22" s="153">
        <f>'2. Monthly Worksheet'!B22</f>
        <v>0</v>
      </c>
      <c r="C22" s="153">
        <f>'2. Monthly Worksheet'!O22</f>
        <v>100000</v>
      </c>
      <c r="D22" s="118">
        <f t="shared" si="3"/>
        <v>0.10723400604799795</v>
      </c>
      <c r="E22" s="119">
        <f t="shared" si="4"/>
        <v>0</v>
      </c>
      <c r="F22" s="41"/>
      <c r="G22" s="7">
        <f t="shared" si="1"/>
        <v>932540</v>
      </c>
      <c r="H22" s="7">
        <f t="shared" si="2"/>
        <v>0</v>
      </c>
      <c r="I22" s="30"/>
      <c r="J22" s="30"/>
      <c r="K22" s="30"/>
    </row>
    <row r="23" spans="1:11" x14ac:dyDescent="0.15">
      <c r="A23" s="71" t="s">
        <v>13</v>
      </c>
      <c r="B23" s="153">
        <f>'2. Monthly Worksheet'!B23</f>
        <v>255000</v>
      </c>
      <c r="C23" s="153">
        <f>'2. Monthly Worksheet'!O23</f>
        <v>467500.00000000006</v>
      </c>
      <c r="D23" s="118">
        <f t="shared" si="3"/>
        <v>0.50131897827439043</v>
      </c>
      <c r="E23" s="119">
        <f t="shared" si="4"/>
        <v>0.83333333333333359</v>
      </c>
      <c r="F23" s="41"/>
      <c r="G23" s="7">
        <f t="shared" si="1"/>
        <v>932540</v>
      </c>
      <c r="H23" s="7">
        <f t="shared" si="2"/>
        <v>255000</v>
      </c>
      <c r="I23" s="30"/>
      <c r="J23" s="30"/>
      <c r="K23" s="30"/>
    </row>
    <row r="24" spans="1:11" x14ac:dyDescent="0.15">
      <c r="A24" s="71" t="s">
        <v>14</v>
      </c>
      <c r="B24" s="153">
        <f>'2. Monthly Worksheet'!B24</f>
        <v>0</v>
      </c>
      <c r="C24" s="153">
        <f>'2. Monthly Worksheet'!O24</f>
        <v>0</v>
      </c>
      <c r="D24" s="118">
        <f t="shared" si="3"/>
        <v>0</v>
      </c>
      <c r="E24" s="119">
        <f t="shared" si="4"/>
        <v>0</v>
      </c>
      <c r="F24" s="41"/>
      <c r="G24" s="7">
        <f t="shared" si="1"/>
        <v>932540</v>
      </c>
      <c r="H24" s="7">
        <f t="shared" si="2"/>
        <v>0</v>
      </c>
      <c r="I24" s="30"/>
      <c r="J24" s="30"/>
      <c r="K24" s="30"/>
    </row>
    <row r="25" spans="1:11" x14ac:dyDescent="0.15">
      <c r="A25" s="71" t="s">
        <v>91</v>
      </c>
      <c r="B25" s="153">
        <f>'2. Monthly Worksheet'!B25</f>
        <v>0</v>
      </c>
      <c r="C25" s="153">
        <f>'2. Monthly Worksheet'!O25</f>
        <v>0</v>
      </c>
      <c r="D25" s="118">
        <f t="shared" si="3"/>
        <v>0</v>
      </c>
      <c r="E25" s="119">
        <f t="shared" si="4"/>
        <v>0</v>
      </c>
      <c r="F25" s="41"/>
      <c r="G25" s="7">
        <f t="shared" si="1"/>
        <v>932540</v>
      </c>
      <c r="H25" s="7">
        <f t="shared" si="2"/>
        <v>0</v>
      </c>
      <c r="I25" s="30"/>
      <c r="J25" s="30"/>
      <c r="K25" s="30"/>
    </row>
    <row r="26" spans="1:11" x14ac:dyDescent="0.15">
      <c r="A26" s="71" t="s">
        <v>22</v>
      </c>
      <c r="B26" s="153">
        <f>'2. Monthly Worksheet'!B26</f>
        <v>0</v>
      </c>
      <c r="C26" s="153">
        <f>'2. Monthly Worksheet'!O26</f>
        <v>0</v>
      </c>
      <c r="D26" s="118">
        <f t="shared" si="3"/>
        <v>0</v>
      </c>
      <c r="E26" s="119">
        <f t="shared" si="4"/>
        <v>0</v>
      </c>
      <c r="F26" s="41"/>
      <c r="G26" s="7">
        <f t="shared" si="1"/>
        <v>932540</v>
      </c>
      <c r="H26" s="7">
        <f t="shared" si="2"/>
        <v>0</v>
      </c>
      <c r="I26" s="30"/>
      <c r="J26" s="30"/>
      <c r="K26" s="30"/>
    </row>
    <row r="27" spans="1:11" x14ac:dyDescent="0.15">
      <c r="A27" s="71" t="s">
        <v>23</v>
      </c>
      <c r="B27" s="153">
        <f>'2. Monthly Worksheet'!B27</f>
        <v>0</v>
      </c>
      <c r="C27" s="153">
        <f>'2. Monthly Worksheet'!O27</f>
        <v>0</v>
      </c>
      <c r="D27" s="118">
        <f t="shared" si="3"/>
        <v>0</v>
      </c>
      <c r="E27" s="119">
        <f t="shared" si="4"/>
        <v>0</v>
      </c>
      <c r="F27" s="41"/>
      <c r="G27" s="7">
        <f t="shared" si="1"/>
        <v>932540</v>
      </c>
      <c r="H27" s="7">
        <f t="shared" si="2"/>
        <v>0</v>
      </c>
      <c r="I27" s="30"/>
      <c r="J27" s="30"/>
      <c r="K27" s="30"/>
    </row>
    <row r="28" spans="1:11" x14ac:dyDescent="0.15">
      <c r="A28" s="71" t="s">
        <v>24</v>
      </c>
      <c r="B28" s="153">
        <f>'2. Monthly Worksheet'!B28</f>
        <v>0</v>
      </c>
      <c r="C28" s="153">
        <f>'2. Monthly Worksheet'!O28</f>
        <v>0</v>
      </c>
      <c r="D28" s="118">
        <f t="shared" si="3"/>
        <v>0</v>
      </c>
      <c r="E28" s="119">
        <f t="shared" si="4"/>
        <v>0</v>
      </c>
      <c r="F28" s="41"/>
      <c r="G28" s="7">
        <f t="shared" si="1"/>
        <v>932540</v>
      </c>
      <c r="H28" s="7">
        <f t="shared" si="2"/>
        <v>0</v>
      </c>
      <c r="I28" s="30"/>
      <c r="J28" s="30"/>
      <c r="K28" s="30"/>
    </row>
    <row r="29" spans="1:11" x14ac:dyDescent="0.15">
      <c r="A29" s="71" t="s">
        <v>16</v>
      </c>
      <c r="B29" s="154">
        <f>'2. Monthly Worksheet'!B29</f>
        <v>0</v>
      </c>
      <c r="C29" s="154">
        <f>'2. Monthly Worksheet'!O29</f>
        <v>0</v>
      </c>
      <c r="D29" s="120">
        <f t="shared" si="3"/>
        <v>0</v>
      </c>
      <c r="E29" s="121">
        <f t="shared" si="4"/>
        <v>0</v>
      </c>
      <c r="F29" s="41"/>
      <c r="G29" s="7">
        <f t="shared" si="1"/>
        <v>932540</v>
      </c>
      <c r="H29" s="7">
        <f t="shared" si="2"/>
        <v>0</v>
      </c>
      <c r="I29" s="30"/>
      <c r="J29" s="30"/>
      <c r="K29" s="30"/>
    </row>
    <row r="30" spans="1:11" s="1" customFormat="1" x14ac:dyDescent="0.15">
      <c r="A30" s="55" t="s">
        <v>76</v>
      </c>
      <c r="B30" s="156">
        <f>SUM(B18:B29)</f>
        <v>620000</v>
      </c>
      <c r="C30" s="138">
        <f>SUM(C18:C29)</f>
        <v>932540</v>
      </c>
      <c r="D30" s="122">
        <f t="shared" si="3"/>
        <v>1</v>
      </c>
      <c r="E30" s="123">
        <f t="shared" si="4"/>
        <v>0.50409677419354837</v>
      </c>
      <c r="F30" s="41"/>
      <c r="G30" s="7">
        <f t="shared" si="1"/>
        <v>932540</v>
      </c>
      <c r="H30" s="7">
        <f t="shared" si="2"/>
        <v>620000</v>
      </c>
      <c r="I30" s="39"/>
      <c r="J30" s="39"/>
      <c r="K30" s="39"/>
    </row>
    <row r="31" spans="1:11" x14ac:dyDescent="0.15">
      <c r="A31" s="71"/>
      <c r="B31" s="63"/>
      <c r="C31" s="145"/>
      <c r="D31" s="129"/>
      <c r="E31" s="129"/>
      <c r="F31" s="41"/>
      <c r="G31" s="7">
        <f t="shared" si="1"/>
        <v>932540</v>
      </c>
      <c r="H31" s="7">
        <f t="shared" si="2"/>
        <v>0</v>
      </c>
      <c r="I31" s="30"/>
      <c r="J31" s="30"/>
      <c r="K31" s="30"/>
    </row>
    <row r="32" spans="1:11" x14ac:dyDescent="0.15">
      <c r="A32" s="55" t="s">
        <v>17</v>
      </c>
      <c r="B32" s="60"/>
      <c r="C32" s="144"/>
      <c r="D32" s="131"/>
      <c r="E32" s="131"/>
      <c r="F32" s="41"/>
      <c r="G32" s="7">
        <f t="shared" si="1"/>
        <v>932540</v>
      </c>
      <c r="H32" s="7">
        <f t="shared" si="2"/>
        <v>0</v>
      </c>
      <c r="I32" s="30"/>
      <c r="J32" s="30"/>
      <c r="K32" s="30"/>
    </row>
    <row r="33" spans="1:11" x14ac:dyDescent="0.15">
      <c r="A33" s="71" t="s">
        <v>18</v>
      </c>
      <c r="B33" s="153">
        <f>'2. Monthly Worksheet'!B33</f>
        <v>0</v>
      </c>
      <c r="C33" s="153">
        <f>'2. Monthly Worksheet'!O33</f>
        <v>0</v>
      </c>
      <c r="D33" s="118">
        <f t="shared" si="3"/>
        <v>0</v>
      </c>
      <c r="E33" s="119">
        <f t="shared" si="4"/>
        <v>0</v>
      </c>
      <c r="F33" s="41"/>
      <c r="G33" s="7">
        <f t="shared" si="1"/>
        <v>932540</v>
      </c>
      <c r="H33" s="7">
        <f t="shared" si="2"/>
        <v>0</v>
      </c>
      <c r="I33" s="30"/>
      <c r="J33" s="30"/>
      <c r="K33" s="30"/>
    </row>
    <row r="34" spans="1:11" x14ac:dyDescent="0.15">
      <c r="A34" s="71" t="s">
        <v>19</v>
      </c>
      <c r="B34" s="153">
        <f>'2. Monthly Worksheet'!B34</f>
        <v>0</v>
      </c>
      <c r="C34" s="153">
        <f>'2. Monthly Worksheet'!O34</f>
        <v>0</v>
      </c>
      <c r="D34" s="118">
        <f t="shared" si="3"/>
        <v>0</v>
      </c>
      <c r="E34" s="119">
        <f t="shared" si="4"/>
        <v>0</v>
      </c>
      <c r="F34" s="41"/>
      <c r="G34" s="7">
        <f t="shared" si="1"/>
        <v>932540</v>
      </c>
      <c r="H34" s="7">
        <f t="shared" si="2"/>
        <v>0</v>
      </c>
      <c r="I34" s="30"/>
      <c r="J34" s="30"/>
      <c r="K34" s="30"/>
    </row>
    <row r="35" spans="1:11" x14ac:dyDescent="0.15">
      <c r="A35" s="71" t="s">
        <v>20</v>
      </c>
      <c r="B35" s="153">
        <f>'2. Monthly Worksheet'!B35</f>
        <v>0</v>
      </c>
      <c r="C35" s="153">
        <f>'2. Monthly Worksheet'!O35</f>
        <v>0</v>
      </c>
      <c r="D35" s="118">
        <f t="shared" si="3"/>
        <v>0</v>
      </c>
      <c r="E35" s="119">
        <f t="shared" si="4"/>
        <v>0</v>
      </c>
      <c r="F35" s="41"/>
      <c r="G35" s="7">
        <f t="shared" si="1"/>
        <v>932540</v>
      </c>
      <c r="H35" s="7">
        <f t="shared" si="2"/>
        <v>0</v>
      </c>
      <c r="I35" s="30"/>
      <c r="J35" s="30"/>
      <c r="K35" s="30"/>
    </row>
    <row r="36" spans="1:11" x14ac:dyDescent="0.15">
      <c r="A36" s="71" t="s">
        <v>21</v>
      </c>
      <c r="B36" s="154">
        <f>'2. Monthly Worksheet'!B36</f>
        <v>0</v>
      </c>
      <c r="C36" s="154">
        <f>'2. Monthly Worksheet'!O36</f>
        <v>0</v>
      </c>
      <c r="D36" s="120">
        <f t="shared" si="3"/>
        <v>0</v>
      </c>
      <c r="E36" s="121">
        <f t="shared" si="4"/>
        <v>0</v>
      </c>
      <c r="F36" s="41"/>
      <c r="G36" s="7">
        <f t="shared" si="1"/>
        <v>932540</v>
      </c>
      <c r="H36" s="7">
        <f t="shared" si="2"/>
        <v>0</v>
      </c>
      <c r="I36" s="30"/>
      <c r="J36" s="30"/>
      <c r="K36" s="30"/>
    </row>
    <row r="37" spans="1:11" s="1" customFormat="1" x14ac:dyDescent="0.15">
      <c r="A37" s="55" t="s">
        <v>26</v>
      </c>
      <c r="B37" s="156">
        <f>SUM(B33:B36)</f>
        <v>0</v>
      </c>
      <c r="C37" s="138">
        <f>SUM(C33:C36)</f>
        <v>0</v>
      </c>
      <c r="D37" s="122">
        <f t="shared" si="3"/>
        <v>0</v>
      </c>
      <c r="E37" s="123">
        <f t="shared" si="4"/>
        <v>0</v>
      </c>
      <c r="F37" s="41"/>
      <c r="G37" s="7">
        <f t="shared" si="1"/>
        <v>932540</v>
      </c>
      <c r="H37" s="7">
        <f t="shared" si="2"/>
        <v>0</v>
      </c>
      <c r="I37" s="39"/>
      <c r="J37" s="39"/>
      <c r="K37" s="39"/>
    </row>
    <row r="38" spans="1:11" s="1" customFormat="1" x14ac:dyDescent="0.15">
      <c r="A38" s="55"/>
      <c r="B38" s="65"/>
      <c r="C38" s="139"/>
      <c r="D38" s="129"/>
      <c r="E38" s="129"/>
      <c r="F38" s="41"/>
      <c r="G38" s="7">
        <f t="shared" si="1"/>
        <v>932540</v>
      </c>
      <c r="H38" s="7">
        <f t="shared" si="2"/>
        <v>0</v>
      </c>
      <c r="I38" s="39"/>
      <c r="J38" s="39"/>
      <c r="K38" s="39"/>
    </row>
    <row r="39" spans="1:11" x14ac:dyDescent="0.15">
      <c r="A39" s="55" t="s">
        <v>77</v>
      </c>
      <c r="B39" s="60"/>
      <c r="C39" s="144"/>
      <c r="D39" s="131"/>
      <c r="E39" s="131"/>
      <c r="F39" s="41"/>
      <c r="G39" s="7">
        <f t="shared" si="1"/>
        <v>932540</v>
      </c>
      <c r="H39" s="7">
        <f t="shared" si="2"/>
        <v>0</v>
      </c>
      <c r="I39" s="30"/>
      <c r="J39" s="30"/>
      <c r="K39" s="30"/>
    </row>
    <row r="40" spans="1:11" x14ac:dyDescent="0.15">
      <c r="A40" s="71" t="s">
        <v>27</v>
      </c>
      <c r="B40" s="153">
        <f>'2. Monthly Worksheet'!B40</f>
        <v>0</v>
      </c>
      <c r="C40" s="153">
        <f>'2. Monthly Worksheet'!O40</f>
        <v>0</v>
      </c>
      <c r="D40" s="118">
        <f t="shared" si="3"/>
        <v>0</v>
      </c>
      <c r="E40" s="119">
        <f t="shared" si="4"/>
        <v>0</v>
      </c>
      <c r="F40" s="41"/>
      <c r="G40" s="7">
        <f t="shared" si="1"/>
        <v>932540</v>
      </c>
      <c r="H40" s="7">
        <f t="shared" si="2"/>
        <v>0</v>
      </c>
      <c r="I40" s="30"/>
      <c r="J40" s="30"/>
      <c r="K40" s="30"/>
    </row>
    <row r="41" spans="1:11" x14ac:dyDescent="0.15">
      <c r="A41" s="71" t="s">
        <v>28</v>
      </c>
      <c r="B41" s="153">
        <f>'2. Monthly Worksheet'!B41</f>
        <v>0</v>
      </c>
      <c r="C41" s="153">
        <f>'2. Monthly Worksheet'!O41</f>
        <v>0</v>
      </c>
      <c r="D41" s="118">
        <f t="shared" si="3"/>
        <v>0</v>
      </c>
      <c r="E41" s="119">
        <f t="shared" si="4"/>
        <v>0</v>
      </c>
      <c r="F41" s="41"/>
      <c r="G41" s="7">
        <f t="shared" si="1"/>
        <v>932540</v>
      </c>
      <c r="H41" s="7">
        <f t="shared" si="2"/>
        <v>0</v>
      </c>
      <c r="I41" s="30"/>
      <c r="J41" s="30"/>
      <c r="K41" s="30"/>
    </row>
    <row r="42" spans="1:11" x14ac:dyDescent="0.15">
      <c r="A42" s="71" t="s">
        <v>29</v>
      </c>
      <c r="B42" s="153">
        <f>'2. Monthly Worksheet'!B42</f>
        <v>0</v>
      </c>
      <c r="C42" s="153">
        <f>'2. Monthly Worksheet'!O42</f>
        <v>0</v>
      </c>
      <c r="D42" s="118">
        <f t="shared" si="3"/>
        <v>0</v>
      </c>
      <c r="E42" s="119">
        <f t="shared" si="4"/>
        <v>0</v>
      </c>
      <c r="F42" s="41"/>
      <c r="G42" s="7">
        <f t="shared" si="1"/>
        <v>932540</v>
      </c>
      <c r="H42" s="7">
        <f t="shared" si="2"/>
        <v>0</v>
      </c>
      <c r="I42" s="30"/>
      <c r="J42" s="30"/>
      <c r="K42" s="30"/>
    </row>
    <row r="43" spans="1:11" x14ac:dyDescent="0.15">
      <c r="A43" s="71" t="s">
        <v>30</v>
      </c>
      <c r="B43" s="153">
        <f>'2. Monthly Worksheet'!B43</f>
        <v>0</v>
      </c>
      <c r="C43" s="153">
        <f>'2. Monthly Worksheet'!O43</f>
        <v>0</v>
      </c>
      <c r="D43" s="118">
        <f t="shared" si="3"/>
        <v>0</v>
      </c>
      <c r="E43" s="119">
        <f t="shared" si="4"/>
        <v>0</v>
      </c>
      <c r="F43" s="41"/>
      <c r="G43" s="7">
        <f t="shared" si="1"/>
        <v>932540</v>
      </c>
      <c r="H43" s="7">
        <f t="shared" si="2"/>
        <v>0</v>
      </c>
      <c r="I43" s="30"/>
      <c r="J43" s="30"/>
      <c r="K43" s="30"/>
    </row>
    <row r="44" spans="1:11" x14ac:dyDescent="0.15">
      <c r="A44" s="71" t="s">
        <v>31</v>
      </c>
      <c r="B44" s="153">
        <f>'2. Monthly Worksheet'!B44</f>
        <v>0</v>
      </c>
      <c r="C44" s="153">
        <f>'2. Monthly Worksheet'!O44</f>
        <v>0</v>
      </c>
      <c r="D44" s="118">
        <f t="shared" si="3"/>
        <v>0</v>
      </c>
      <c r="E44" s="119">
        <f t="shared" si="4"/>
        <v>0</v>
      </c>
      <c r="F44" s="41"/>
      <c r="G44" s="7">
        <f t="shared" si="1"/>
        <v>932540</v>
      </c>
      <c r="H44" s="7">
        <f t="shared" si="2"/>
        <v>0</v>
      </c>
      <c r="I44" s="30"/>
      <c r="J44" s="30"/>
      <c r="K44" s="30"/>
    </row>
    <row r="45" spans="1:11" x14ac:dyDescent="0.15">
      <c r="A45" s="71" t="s">
        <v>32</v>
      </c>
      <c r="B45" s="153">
        <f>'2. Monthly Worksheet'!B45</f>
        <v>0</v>
      </c>
      <c r="C45" s="153">
        <f>'2. Monthly Worksheet'!O45</f>
        <v>0</v>
      </c>
      <c r="D45" s="118">
        <f t="shared" si="3"/>
        <v>0</v>
      </c>
      <c r="E45" s="119">
        <f t="shared" si="4"/>
        <v>0</v>
      </c>
      <c r="F45" s="41"/>
      <c r="G45" s="7">
        <f t="shared" si="1"/>
        <v>932540</v>
      </c>
      <c r="H45" s="7">
        <f t="shared" si="2"/>
        <v>0</v>
      </c>
      <c r="I45" s="30"/>
      <c r="J45" s="30"/>
      <c r="K45" s="30"/>
    </row>
    <row r="46" spans="1:11" x14ac:dyDescent="0.15">
      <c r="A46" s="71" t="s">
        <v>33</v>
      </c>
      <c r="B46" s="154">
        <f>'2. Monthly Worksheet'!B46</f>
        <v>0</v>
      </c>
      <c r="C46" s="154">
        <f>'2. Monthly Worksheet'!O46</f>
        <v>0</v>
      </c>
      <c r="D46" s="120">
        <f t="shared" si="3"/>
        <v>0</v>
      </c>
      <c r="E46" s="121">
        <f t="shared" si="4"/>
        <v>0</v>
      </c>
      <c r="F46" s="41"/>
      <c r="G46" s="7">
        <f t="shared" si="1"/>
        <v>932540</v>
      </c>
      <c r="H46" s="7">
        <f t="shared" si="2"/>
        <v>0</v>
      </c>
      <c r="I46" s="30"/>
      <c r="J46" s="30"/>
      <c r="K46" s="30"/>
    </row>
    <row r="47" spans="1:11" s="1" customFormat="1" x14ac:dyDescent="0.15">
      <c r="A47" s="55" t="s">
        <v>78</v>
      </c>
      <c r="B47" s="156">
        <f>SUM(B40:B46)</f>
        <v>0</v>
      </c>
      <c r="C47" s="138">
        <f>SUM(C40:C46)</f>
        <v>0</v>
      </c>
      <c r="D47" s="125">
        <f t="shared" si="3"/>
        <v>0</v>
      </c>
      <c r="E47" s="126">
        <f t="shared" si="4"/>
        <v>0</v>
      </c>
      <c r="F47" s="41"/>
      <c r="G47" s="7">
        <f t="shared" si="1"/>
        <v>932540</v>
      </c>
      <c r="H47" s="7">
        <f t="shared" si="2"/>
        <v>0</v>
      </c>
      <c r="I47" s="39"/>
      <c r="J47" s="39"/>
      <c r="K47" s="39"/>
    </row>
    <row r="48" spans="1:11" s="1" customFormat="1" x14ac:dyDescent="0.15">
      <c r="A48" s="55"/>
      <c r="B48" s="65"/>
      <c r="C48" s="139"/>
      <c r="D48" s="129"/>
      <c r="E48" s="129"/>
      <c r="F48" s="41"/>
      <c r="G48" s="7">
        <f t="shared" si="1"/>
        <v>932540</v>
      </c>
      <c r="H48" s="7">
        <f t="shared" si="2"/>
        <v>0</v>
      </c>
      <c r="I48" s="39"/>
      <c r="J48" s="39"/>
      <c r="K48" s="39"/>
    </row>
    <row r="49" spans="1:11" x14ac:dyDescent="0.15">
      <c r="A49" s="55" t="s">
        <v>34</v>
      </c>
      <c r="B49" s="60"/>
      <c r="C49" s="144"/>
      <c r="D49" s="131"/>
      <c r="E49" s="131"/>
      <c r="F49" s="41"/>
      <c r="G49" s="7">
        <f t="shared" si="1"/>
        <v>932540</v>
      </c>
      <c r="H49" s="7">
        <f t="shared" si="2"/>
        <v>0</v>
      </c>
      <c r="I49" s="30"/>
      <c r="J49" s="30"/>
      <c r="K49" s="30"/>
    </row>
    <row r="50" spans="1:11" x14ac:dyDescent="0.15">
      <c r="A50" s="71" t="s">
        <v>35</v>
      </c>
      <c r="B50" s="153">
        <f>'2. Monthly Worksheet'!B50</f>
        <v>0</v>
      </c>
      <c r="C50" s="155">
        <f>'2. Monthly Worksheet'!O50</f>
        <v>0</v>
      </c>
      <c r="D50" s="118">
        <f t="shared" si="3"/>
        <v>0</v>
      </c>
      <c r="E50" s="119">
        <f t="shared" si="4"/>
        <v>0</v>
      </c>
      <c r="F50" s="41"/>
      <c r="G50" s="7">
        <f t="shared" si="1"/>
        <v>932540</v>
      </c>
      <c r="H50" s="7">
        <f t="shared" si="2"/>
        <v>0</v>
      </c>
      <c r="I50" s="30"/>
      <c r="J50" s="30"/>
      <c r="K50" s="30"/>
    </row>
    <row r="51" spans="1:11" x14ac:dyDescent="0.15">
      <c r="A51" s="71" t="s">
        <v>36</v>
      </c>
      <c r="B51" s="153">
        <f>'2. Monthly Worksheet'!B51</f>
        <v>0</v>
      </c>
      <c r="C51" s="155">
        <f>'2. Monthly Worksheet'!O51</f>
        <v>0</v>
      </c>
      <c r="D51" s="118">
        <f t="shared" si="3"/>
        <v>0</v>
      </c>
      <c r="E51" s="119">
        <f t="shared" si="4"/>
        <v>0</v>
      </c>
      <c r="F51" s="41"/>
      <c r="G51" s="7">
        <f t="shared" si="1"/>
        <v>932540</v>
      </c>
      <c r="H51" s="7">
        <f t="shared" si="2"/>
        <v>0</v>
      </c>
      <c r="I51" s="30"/>
      <c r="J51" s="30"/>
      <c r="K51" s="30"/>
    </row>
    <row r="52" spans="1:11" x14ac:dyDescent="0.15">
      <c r="A52" s="71" t="s">
        <v>33</v>
      </c>
      <c r="B52" s="154">
        <f>'2. Monthly Worksheet'!B52</f>
        <v>0</v>
      </c>
      <c r="C52" s="155">
        <f>'2. Monthly Worksheet'!O52</f>
        <v>0</v>
      </c>
      <c r="D52" s="120">
        <f t="shared" si="3"/>
        <v>0</v>
      </c>
      <c r="E52" s="121">
        <f t="shared" si="4"/>
        <v>0</v>
      </c>
      <c r="F52" s="41"/>
      <c r="G52" s="7">
        <f t="shared" si="1"/>
        <v>932540</v>
      </c>
      <c r="H52" s="7">
        <f t="shared" si="2"/>
        <v>0</v>
      </c>
      <c r="I52" s="30"/>
      <c r="J52" s="30"/>
      <c r="K52" s="30"/>
    </row>
    <row r="53" spans="1:11" s="1" customFormat="1" x14ac:dyDescent="0.15">
      <c r="A53" s="55" t="s">
        <v>37</v>
      </c>
      <c r="B53" s="156">
        <f>SUM(B50:B52)</f>
        <v>0</v>
      </c>
      <c r="C53" s="138">
        <f>SUM(C50:C52)</f>
        <v>0</v>
      </c>
      <c r="D53" s="122">
        <f t="shared" si="3"/>
        <v>0</v>
      </c>
      <c r="E53" s="123">
        <f t="shared" si="4"/>
        <v>0</v>
      </c>
      <c r="F53" s="41"/>
      <c r="G53" s="7">
        <f t="shared" si="1"/>
        <v>932540</v>
      </c>
      <c r="H53" s="7">
        <f t="shared" si="2"/>
        <v>0</v>
      </c>
      <c r="I53" s="39"/>
      <c r="J53" s="39"/>
      <c r="K53" s="39"/>
    </row>
    <row r="54" spans="1:11" s="1" customFormat="1" x14ac:dyDescent="0.15">
      <c r="A54" s="55"/>
      <c r="B54" s="65"/>
      <c r="C54" s="139"/>
      <c r="D54" s="129"/>
      <c r="E54" s="129"/>
      <c r="F54" s="41"/>
      <c r="G54" s="7">
        <f t="shared" si="1"/>
        <v>932540</v>
      </c>
      <c r="H54" s="7">
        <f t="shared" si="2"/>
        <v>0</v>
      </c>
      <c r="I54" s="39"/>
      <c r="J54" s="39"/>
      <c r="K54" s="39"/>
    </row>
    <row r="55" spans="1:11" x14ac:dyDescent="0.15">
      <c r="A55" s="55" t="s">
        <v>38</v>
      </c>
      <c r="B55" s="60"/>
      <c r="C55" s="144"/>
      <c r="D55" s="131"/>
      <c r="E55" s="131"/>
      <c r="F55" s="41"/>
      <c r="G55" s="7">
        <f t="shared" si="1"/>
        <v>932540</v>
      </c>
      <c r="H55" s="7">
        <f t="shared" si="2"/>
        <v>0</v>
      </c>
      <c r="I55" s="30"/>
      <c r="J55" s="30"/>
      <c r="K55" s="30"/>
    </row>
    <row r="56" spans="1:11" x14ac:dyDescent="0.15">
      <c r="A56" s="71" t="s">
        <v>39</v>
      </c>
      <c r="B56" s="153">
        <f>'2. Monthly Worksheet'!B56</f>
        <v>0</v>
      </c>
      <c r="C56" s="153">
        <f>'2. Monthly Worksheet'!O56</f>
        <v>0</v>
      </c>
      <c r="D56" s="118">
        <f t="shared" si="3"/>
        <v>0</v>
      </c>
      <c r="E56" s="119">
        <f t="shared" si="4"/>
        <v>0</v>
      </c>
      <c r="F56" s="41"/>
      <c r="G56" s="7">
        <f t="shared" si="1"/>
        <v>932540</v>
      </c>
      <c r="H56" s="7">
        <f t="shared" si="2"/>
        <v>0</v>
      </c>
      <c r="I56" s="30"/>
      <c r="J56" s="30"/>
      <c r="K56" s="30"/>
    </row>
    <row r="57" spans="1:11" x14ac:dyDescent="0.15">
      <c r="A57" s="71" t="s">
        <v>40</v>
      </c>
      <c r="B57" s="153">
        <f>'2. Monthly Worksheet'!B57</f>
        <v>0</v>
      </c>
      <c r="C57" s="153">
        <f>'2. Monthly Worksheet'!O57</f>
        <v>0</v>
      </c>
      <c r="D57" s="118">
        <f t="shared" si="3"/>
        <v>0</v>
      </c>
      <c r="E57" s="119">
        <f t="shared" si="4"/>
        <v>0</v>
      </c>
      <c r="F57" s="41"/>
      <c r="G57" s="7">
        <f t="shared" si="1"/>
        <v>932540</v>
      </c>
      <c r="H57" s="7">
        <f t="shared" si="2"/>
        <v>0</v>
      </c>
      <c r="I57" s="30"/>
      <c r="J57" s="30"/>
      <c r="K57" s="30"/>
    </row>
    <row r="58" spans="1:11" x14ac:dyDescent="0.15">
      <c r="A58" s="71" t="s">
        <v>41</v>
      </c>
      <c r="B58" s="153">
        <f>'2. Monthly Worksheet'!B58</f>
        <v>0</v>
      </c>
      <c r="C58" s="153">
        <f>'2. Monthly Worksheet'!O58</f>
        <v>0</v>
      </c>
      <c r="D58" s="118">
        <f t="shared" si="3"/>
        <v>0</v>
      </c>
      <c r="E58" s="119">
        <f t="shared" si="4"/>
        <v>0</v>
      </c>
      <c r="F58" s="41"/>
      <c r="G58" s="7">
        <f t="shared" si="1"/>
        <v>932540</v>
      </c>
      <c r="H58" s="7">
        <f t="shared" si="2"/>
        <v>0</v>
      </c>
      <c r="I58" s="30"/>
      <c r="J58" s="30"/>
      <c r="K58" s="30"/>
    </row>
    <row r="59" spans="1:11" x14ac:dyDescent="0.15">
      <c r="A59" s="71" t="s">
        <v>36</v>
      </c>
      <c r="B59" s="153">
        <f>'2. Monthly Worksheet'!B59</f>
        <v>0</v>
      </c>
      <c r="C59" s="153">
        <f>'2. Monthly Worksheet'!O59</f>
        <v>0</v>
      </c>
      <c r="D59" s="118">
        <f t="shared" si="3"/>
        <v>0</v>
      </c>
      <c r="E59" s="119">
        <f t="shared" si="4"/>
        <v>0</v>
      </c>
      <c r="F59" s="41"/>
      <c r="G59" s="7">
        <f t="shared" si="1"/>
        <v>932540</v>
      </c>
      <c r="H59" s="7">
        <f t="shared" si="2"/>
        <v>0</v>
      </c>
      <c r="I59" s="30"/>
      <c r="J59" s="30"/>
      <c r="K59" s="30"/>
    </row>
    <row r="60" spans="1:11" x14ac:dyDescent="0.15">
      <c r="A60" s="71" t="s">
        <v>42</v>
      </c>
      <c r="B60" s="153">
        <f>'2. Monthly Worksheet'!B60</f>
        <v>0</v>
      </c>
      <c r="C60" s="153">
        <f>'2. Monthly Worksheet'!O60</f>
        <v>0</v>
      </c>
      <c r="D60" s="118">
        <f t="shared" si="3"/>
        <v>0</v>
      </c>
      <c r="E60" s="119">
        <f t="shared" si="4"/>
        <v>0</v>
      </c>
      <c r="F60" s="41"/>
      <c r="G60" s="7">
        <f t="shared" si="1"/>
        <v>932540</v>
      </c>
      <c r="H60" s="7">
        <f t="shared" si="2"/>
        <v>0</v>
      </c>
      <c r="I60" s="30"/>
      <c r="J60" s="30"/>
      <c r="K60" s="30"/>
    </row>
    <row r="61" spans="1:11" x14ac:dyDescent="0.15">
      <c r="A61" s="71" t="s">
        <v>33</v>
      </c>
      <c r="B61" s="154">
        <f>'2. Monthly Worksheet'!B61</f>
        <v>0</v>
      </c>
      <c r="C61" s="154">
        <f>'2. Monthly Worksheet'!O61</f>
        <v>0</v>
      </c>
      <c r="D61" s="120">
        <f t="shared" si="3"/>
        <v>0</v>
      </c>
      <c r="E61" s="121">
        <f t="shared" si="4"/>
        <v>0</v>
      </c>
      <c r="F61" s="41"/>
      <c r="G61" s="7">
        <f t="shared" si="1"/>
        <v>932540</v>
      </c>
      <c r="H61" s="7">
        <f t="shared" si="2"/>
        <v>0</v>
      </c>
      <c r="I61" s="30"/>
      <c r="J61" s="30"/>
      <c r="K61" s="30"/>
    </row>
    <row r="62" spans="1:11" x14ac:dyDescent="0.15">
      <c r="A62" s="55" t="s">
        <v>43</v>
      </c>
      <c r="B62" s="156">
        <f>SUM(B56:B61)</f>
        <v>0</v>
      </c>
      <c r="C62" s="138">
        <f>SUM(C56:C61)</f>
        <v>0</v>
      </c>
      <c r="D62" s="122">
        <f t="shared" si="3"/>
        <v>0</v>
      </c>
      <c r="E62" s="123">
        <f t="shared" si="4"/>
        <v>0</v>
      </c>
      <c r="F62" s="41"/>
      <c r="G62" s="7">
        <f t="shared" si="1"/>
        <v>932540</v>
      </c>
      <c r="H62" s="7">
        <f t="shared" si="2"/>
        <v>0</v>
      </c>
      <c r="I62" s="30"/>
      <c r="J62" s="30"/>
      <c r="K62" s="30"/>
    </row>
    <row r="63" spans="1:11" x14ac:dyDescent="0.15">
      <c r="A63" s="55"/>
      <c r="B63" s="67"/>
      <c r="C63" s="145"/>
      <c r="D63" s="129"/>
      <c r="E63" s="129"/>
      <c r="F63" s="41"/>
      <c r="G63" s="7">
        <f t="shared" si="1"/>
        <v>932540</v>
      </c>
      <c r="H63" s="7">
        <f t="shared" si="2"/>
        <v>0</v>
      </c>
      <c r="I63" s="30"/>
      <c r="J63" s="30"/>
      <c r="K63" s="30"/>
    </row>
    <row r="64" spans="1:11" s="1" customFormat="1" x14ac:dyDescent="0.15">
      <c r="A64" s="55" t="s">
        <v>79</v>
      </c>
      <c r="B64" s="66"/>
      <c r="C64" s="146"/>
      <c r="D64" s="131"/>
      <c r="E64" s="131"/>
      <c r="F64" s="41"/>
      <c r="G64" s="7">
        <f t="shared" si="1"/>
        <v>932540</v>
      </c>
      <c r="H64" s="7">
        <f t="shared" si="2"/>
        <v>0</v>
      </c>
      <c r="I64" s="39"/>
      <c r="J64" s="39"/>
      <c r="K64" s="39"/>
    </row>
    <row r="65" spans="1:11" x14ac:dyDescent="0.15">
      <c r="A65" s="71" t="s">
        <v>44</v>
      </c>
      <c r="B65" s="153">
        <f>'2. Monthly Worksheet'!B65</f>
        <v>0</v>
      </c>
      <c r="C65" s="153">
        <f>'2. Monthly Worksheet'!O65</f>
        <v>0</v>
      </c>
      <c r="D65" s="118">
        <f t="shared" si="3"/>
        <v>0</v>
      </c>
      <c r="E65" s="119">
        <f t="shared" si="4"/>
        <v>0</v>
      </c>
      <c r="F65" s="41"/>
      <c r="G65" s="7">
        <f t="shared" si="1"/>
        <v>932540</v>
      </c>
      <c r="H65" s="7">
        <f t="shared" si="2"/>
        <v>0</v>
      </c>
      <c r="I65" s="30"/>
      <c r="J65" s="30"/>
      <c r="K65" s="30"/>
    </row>
    <row r="66" spans="1:11" x14ac:dyDescent="0.15">
      <c r="A66" s="71" t="s">
        <v>45</v>
      </c>
      <c r="B66" s="153">
        <f>'2. Monthly Worksheet'!B66</f>
        <v>0</v>
      </c>
      <c r="C66" s="153">
        <f>'2. Monthly Worksheet'!O66</f>
        <v>0</v>
      </c>
      <c r="D66" s="118">
        <f t="shared" si="3"/>
        <v>0</v>
      </c>
      <c r="E66" s="119">
        <f t="shared" si="4"/>
        <v>0</v>
      </c>
      <c r="F66" s="41"/>
      <c r="G66" s="7">
        <f t="shared" si="1"/>
        <v>932540</v>
      </c>
      <c r="H66" s="7">
        <f t="shared" si="2"/>
        <v>0</v>
      </c>
      <c r="I66" s="30"/>
      <c r="J66" s="30"/>
      <c r="K66" s="30"/>
    </row>
    <row r="67" spans="1:11" x14ac:dyDescent="0.15">
      <c r="A67" s="71" t="s">
        <v>46</v>
      </c>
      <c r="B67" s="153">
        <f>'2. Monthly Worksheet'!B67</f>
        <v>0</v>
      </c>
      <c r="C67" s="153">
        <f>'2. Monthly Worksheet'!O67</f>
        <v>0</v>
      </c>
      <c r="D67" s="118">
        <f t="shared" si="3"/>
        <v>0</v>
      </c>
      <c r="E67" s="119">
        <f t="shared" si="4"/>
        <v>0</v>
      </c>
      <c r="F67" s="41"/>
      <c r="G67" s="7">
        <f t="shared" si="1"/>
        <v>932540</v>
      </c>
      <c r="H67" s="7">
        <f t="shared" si="2"/>
        <v>0</v>
      </c>
      <c r="I67" s="30"/>
      <c r="J67" s="30"/>
      <c r="K67" s="30"/>
    </row>
    <row r="68" spans="1:11" x14ac:dyDescent="0.15">
      <c r="A68" s="71" t="s">
        <v>47</v>
      </c>
      <c r="B68" s="153">
        <f>'2. Monthly Worksheet'!B68</f>
        <v>0</v>
      </c>
      <c r="C68" s="153">
        <f>'2. Monthly Worksheet'!O68</f>
        <v>0</v>
      </c>
      <c r="D68" s="118">
        <f t="shared" si="3"/>
        <v>0</v>
      </c>
      <c r="E68" s="119">
        <f t="shared" si="4"/>
        <v>0</v>
      </c>
      <c r="F68" s="41"/>
      <c r="G68" s="7">
        <f t="shared" si="1"/>
        <v>932540</v>
      </c>
      <c r="H68" s="7">
        <f t="shared" si="2"/>
        <v>0</v>
      </c>
      <c r="I68" s="30"/>
      <c r="J68" s="30"/>
      <c r="K68" s="30"/>
    </row>
    <row r="69" spans="1:11" x14ac:dyDescent="0.15">
      <c r="A69" s="71" t="s">
        <v>48</v>
      </c>
      <c r="B69" s="153">
        <f>'2. Monthly Worksheet'!B69</f>
        <v>0</v>
      </c>
      <c r="C69" s="153">
        <f>'2. Monthly Worksheet'!O69</f>
        <v>0</v>
      </c>
      <c r="D69" s="118">
        <f t="shared" si="3"/>
        <v>0</v>
      </c>
      <c r="E69" s="119">
        <f t="shared" si="4"/>
        <v>0</v>
      </c>
      <c r="F69" s="41"/>
      <c r="G69" s="7">
        <f t="shared" si="1"/>
        <v>932540</v>
      </c>
      <c r="H69" s="7">
        <f t="shared" si="2"/>
        <v>0</v>
      </c>
      <c r="I69" s="30"/>
      <c r="J69" s="30"/>
      <c r="K69" s="30"/>
    </row>
    <row r="70" spans="1:11" x14ac:dyDescent="0.15">
      <c r="A70" s="71" t="s">
        <v>33</v>
      </c>
      <c r="B70" s="154">
        <f>'2. Monthly Worksheet'!B70</f>
        <v>0</v>
      </c>
      <c r="C70" s="154">
        <f>'2. Monthly Worksheet'!O70</f>
        <v>0</v>
      </c>
      <c r="D70" s="120">
        <f t="shared" si="3"/>
        <v>0</v>
      </c>
      <c r="E70" s="121">
        <f t="shared" si="4"/>
        <v>0</v>
      </c>
      <c r="F70" s="41"/>
      <c r="G70" s="7">
        <f t="shared" ref="G70:G97" si="5">$C$95</f>
        <v>932540</v>
      </c>
      <c r="H70" s="7">
        <f t="shared" ref="H70:H97" si="6">B70</f>
        <v>0</v>
      </c>
      <c r="I70" s="30"/>
      <c r="J70" s="30"/>
      <c r="K70" s="30"/>
    </row>
    <row r="71" spans="1:11" x14ac:dyDescent="0.15">
      <c r="A71" s="55" t="s">
        <v>80</v>
      </c>
      <c r="B71" s="50">
        <f>SUM(B65:B70)</f>
        <v>0</v>
      </c>
      <c r="C71" s="138">
        <f>SUM(C65:C70)</f>
        <v>0</v>
      </c>
      <c r="D71" s="122">
        <f t="shared" si="3"/>
        <v>0</v>
      </c>
      <c r="E71" s="123">
        <f t="shared" si="4"/>
        <v>0</v>
      </c>
      <c r="F71" s="41"/>
      <c r="G71" s="7">
        <f t="shared" si="5"/>
        <v>932540</v>
      </c>
      <c r="H71" s="7">
        <f t="shared" si="6"/>
        <v>0</v>
      </c>
      <c r="I71" s="30"/>
      <c r="J71" s="30"/>
      <c r="K71" s="30"/>
    </row>
    <row r="72" spans="1:11" x14ac:dyDescent="0.15">
      <c r="A72" s="55"/>
      <c r="B72" s="65"/>
      <c r="C72" s="139"/>
      <c r="D72" s="129"/>
      <c r="E72" s="129"/>
      <c r="F72" s="41"/>
      <c r="G72" s="7">
        <f t="shared" si="5"/>
        <v>932540</v>
      </c>
      <c r="H72" s="7">
        <f t="shared" si="6"/>
        <v>0</v>
      </c>
      <c r="I72" s="30"/>
      <c r="J72" s="30"/>
      <c r="K72" s="30"/>
    </row>
    <row r="73" spans="1:11" s="1" customFormat="1" x14ac:dyDescent="0.15">
      <c r="A73" s="55" t="s">
        <v>81</v>
      </c>
      <c r="B73" s="66"/>
      <c r="C73" s="146"/>
      <c r="D73" s="131"/>
      <c r="E73" s="131"/>
      <c r="F73" s="41"/>
      <c r="G73" s="7">
        <f t="shared" si="5"/>
        <v>932540</v>
      </c>
      <c r="H73" s="7">
        <f t="shared" si="6"/>
        <v>0</v>
      </c>
      <c r="I73" s="39"/>
      <c r="J73" s="39"/>
      <c r="K73" s="39"/>
    </row>
    <row r="74" spans="1:11" x14ac:dyDescent="0.15">
      <c r="A74" s="71" t="s">
        <v>49</v>
      </c>
      <c r="B74" s="153">
        <f>'2. Monthly Worksheet'!B74</f>
        <v>0</v>
      </c>
      <c r="C74" s="153">
        <f>'2. Monthly Worksheet'!O74</f>
        <v>0</v>
      </c>
      <c r="D74" s="118">
        <f t="shared" si="3"/>
        <v>0</v>
      </c>
      <c r="E74" s="119">
        <f t="shared" si="4"/>
        <v>0</v>
      </c>
      <c r="F74" s="41"/>
      <c r="G74" s="7">
        <f t="shared" si="5"/>
        <v>932540</v>
      </c>
      <c r="H74" s="7">
        <f t="shared" si="6"/>
        <v>0</v>
      </c>
      <c r="I74" s="30"/>
      <c r="J74" s="30"/>
      <c r="K74" s="30"/>
    </row>
    <row r="75" spans="1:11" x14ac:dyDescent="0.15">
      <c r="A75" s="71" t="s">
        <v>50</v>
      </c>
      <c r="B75" s="153">
        <f>'2. Monthly Worksheet'!B75</f>
        <v>0</v>
      </c>
      <c r="C75" s="153">
        <f>'2. Monthly Worksheet'!O75</f>
        <v>0</v>
      </c>
      <c r="D75" s="118">
        <f t="shared" si="3"/>
        <v>0</v>
      </c>
      <c r="E75" s="119">
        <f t="shared" si="4"/>
        <v>0</v>
      </c>
      <c r="F75" s="41"/>
      <c r="G75" s="7">
        <f t="shared" si="5"/>
        <v>932540</v>
      </c>
      <c r="H75" s="7">
        <f t="shared" si="6"/>
        <v>0</v>
      </c>
      <c r="I75" s="30"/>
      <c r="J75" s="30"/>
      <c r="K75" s="30"/>
    </row>
    <row r="76" spans="1:11" x14ac:dyDescent="0.15">
      <c r="A76" s="71" t="s">
        <v>51</v>
      </c>
      <c r="B76" s="153">
        <f>'2. Monthly Worksheet'!B76</f>
        <v>0</v>
      </c>
      <c r="C76" s="153">
        <f>'2. Monthly Worksheet'!O76</f>
        <v>0</v>
      </c>
      <c r="D76" s="118">
        <f t="shared" si="3"/>
        <v>0</v>
      </c>
      <c r="E76" s="119">
        <f t="shared" si="4"/>
        <v>0</v>
      </c>
      <c r="F76" s="41"/>
      <c r="G76" s="7">
        <f t="shared" si="5"/>
        <v>932540</v>
      </c>
      <c r="H76" s="7">
        <f t="shared" si="6"/>
        <v>0</v>
      </c>
      <c r="I76" s="30"/>
      <c r="J76" s="30"/>
      <c r="K76" s="30"/>
    </row>
    <row r="77" spans="1:11" x14ac:dyDescent="0.15">
      <c r="A77" s="71" t="s">
        <v>52</v>
      </c>
      <c r="B77" s="153">
        <f>'2. Monthly Worksheet'!B77</f>
        <v>0</v>
      </c>
      <c r="C77" s="153">
        <f>'2. Monthly Worksheet'!O77</f>
        <v>0</v>
      </c>
      <c r="D77" s="118">
        <f t="shared" si="3"/>
        <v>0</v>
      </c>
      <c r="E77" s="119">
        <f t="shared" si="4"/>
        <v>0</v>
      </c>
      <c r="F77" s="41"/>
      <c r="G77" s="7">
        <f t="shared" si="5"/>
        <v>932540</v>
      </c>
      <c r="H77" s="7">
        <f t="shared" si="6"/>
        <v>0</v>
      </c>
      <c r="I77" s="30"/>
      <c r="J77" s="30"/>
      <c r="K77" s="30"/>
    </row>
    <row r="78" spans="1:11" x14ac:dyDescent="0.15">
      <c r="A78" s="71" t="s">
        <v>53</v>
      </c>
      <c r="B78" s="153">
        <f>'2. Monthly Worksheet'!B78</f>
        <v>0</v>
      </c>
      <c r="C78" s="153">
        <f>'2. Monthly Worksheet'!O78</f>
        <v>0</v>
      </c>
      <c r="D78" s="118">
        <f t="shared" si="3"/>
        <v>0</v>
      </c>
      <c r="E78" s="119">
        <f t="shared" si="4"/>
        <v>0</v>
      </c>
      <c r="F78" s="41"/>
      <c r="G78" s="7">
        <f t="shared" si="5"/>
        <v>932540</v>
      </c>
      <c r="H78" s="7">
        <f t="shared" si="6"/>
        <v>0</v>
      </c>
      <c r="I78" s="30"/>
      <c r="J78" s="30"/>
      <c r="K78" s="30"/>
    </row>
    <row r="79" spans="1:11" x14ac:dyDescent="0.15">
      <c r="A79" s="71" t="s">
        <v>54</v>
      </c>
      <c r="B79" s="153">
        <f>'2. Monthly Worksheet'!B79</f>
        <v>0</v>
      </c>
      <c r="C79" s="153">
        <f>'2. Monthly Worksheet'!O79</f>
        <v>0</v>
      </c>
      <c r="D79" s="118">
        <f t="shared" si="3"/>
        <v>0</v>
      </c>
      <c r="E79" s="119">
        <f t="shared" si="4"/>
        <v>0</v>
      </c>
      <c r="F79" s="41"/>
      <c r="G79" s="7">
        <f t="shared" si="5"/>
        <v>932540</v>
      </c>
      <c r="H79" s="7">
        <f t="shared" si="6"/>
        <v>0</v>
      </c>
      <c r="I79" s="30"/>
      <c r="J79" s="30"/>
      <c r="K79" s="30"/>
    </row>
    <row r="80" spans="1:11" x14ac:dyDescent="0.15">
      <c r="A80" s="71" t="s">
        <v>55</v>
      </c>
      <c r="B80" s="154">
        <f>'2. Monthly Worksheet'!B80</f>
        <v>0</v>
      </c>
      <c r="C80" s="154">
        <f>'2. Monthly Worksheet'!O80</f>
        <v>0</v>
      </c>
      <c r="D80" s="120">
        <f t="shared" si="3"/>
        <v>0</v>
      </c>
      <c r="E80" s="121">
        <f t="shared" si="4"/>
        <v>0</v>
      </c>
      <c r="F80" s="41"/>
      <c r="G80" s="7">
        <f t="shared" si="5"/>
        <v>932540</v>
      </c>
      <c r="H80" s="7">
        <f t="shared" si="6"/>
        <v>0</v>
      </c>
      <c r="I80" s="30"/>
      <c r="J80" s="30"/>
      <c r="K80" s="30"/>
    </row>
    <row r="81" spans="1:11" x14ac:dyDescent="0.15">
      <c r="A81" s="55" t="s">
        <v>82</v>
      </c>
      <c r="B81" s="50">
        <f>SUM(B74:B80)</f>
        <v>0</v>
      </c>
      <c r="C81" s="138">
        <f>SUM(C74:C80)</f>
        <v>0</v>
      </c>
      <c r="D81" s="122">
        <f t="shared" si="3"/>
        <v>0</v>
      </c>
      <c r="E81" s="123">
        <f t="shared" si="4"/>
        <v>0</v>
      </c>
      <c r="F81" s="41"/>
      <c r="G81" s="7">
        <f t="shared" si="5"/>
        <v>932540</v>
      </c>
      <c r="H81" s="7">
        <f t="shared" si="6"/>
        <v>0</v>
      </c>
      <c r="I81" s="30"/>
      <c r="J81" s="30"/>
      <c r="K81" s="30"/>
    </row>
    <row r="82" spans="1:11" x14ac:dyDescent="0.15">
      <c r="A82" s="55"/>
      <c r="B82" s="65"/>
      <c r="C82" s="139"/>
      <c r="D82" s="129"/>
      <c r="E82" s="129"/>
      <c r="F82" s="41"/>
      <c r="G82" s="7">
        <f t="shared" si="5"/>
        <v>932540</v>
      </c>
      <c r="H82" s="7">
        <f t="shared" si="6"/>
        <v>0</v>
      </c>
      <c r="I82" s="30"/>
      <c r="J82" s="30"/>
      <c r="K82" s="30"/>
    </row>
    <row r="83" spans="1:11" s="1" customFormat="1" x14ac:dyDescent="0.15">
      <c r="A83" s="55" t="s">
        <v>83</v>
      </c>
      <c r="B83" s="66"/>
      <c r="C83" s="146"/>
      <c r="D83" s="131"/>
      <c r="E83" s="131"/>
      <c r="F83" s="41"/>
      <c r="G83" s="7">
        <f t="shared" si="5"/>
        <v>932540</v>
      </c>
      <c r="H83" s="7">
        <f t="shared" si="6"/>
        <v>0</v>
      </c>
      <c r="I83" s="39"/>
      <c r="J83" s="39"/>
      <c r="K83" s="39"/>
    </row>
    <row r="84" spans="1:11" x14ac:dyDescent="0.15">
      <c r="A84" s="71" t="s">
        <v>56</v>
      </c>
      <c r="B84" s="153">
        <f>'2. Monthly Worksheet'!B84</f>
        <v>0</v>
      </c>
      <c r="C84" s="153">
        <f>'2. Monthly Worksheet'!O84</f>
        <v>0</v>
      </c>
      <c r="D84" s="118">
        <f t="shared" si="3"/>
        <v>0</v>
      </c>
      <c r="E84" s="119">
        <f t="shared" si="4"/>
        <v>0</v>
      </c>
      <c r="F84" s="41"/>
      <c r="G84" s="7">
        <f t="shared" si="5"/>
        <v>932540</v>
      </c>
      <c r="H84" s="7">
        <f t="shared" si="6"/>
        <v>0</v>
      </c>
      <c r="I84" s="30"/>
      <c r="J84" s="30"/>
      <c r="K84" s="30"/>
    </row>
    <row r="85" spans="1:11" x14ac:dyDescent="0.15">
      <c r="A85" s="71" t="s">
        <v>25</v>
      </c>
      <c r="B85" s="153">
        <f>'2. Monthly Worksheet'!B85</f>
        <v>0</v>
      </c>
      <c r="C85" s="153">
        <f>'2. Monthly Worksheet'!O85</f>
        <v>0</v>
      </c>
      <c r="D85" s="118">
        <f t="shared" ref="D85:D97" si="7">IF(G85=0,G85,(C85/$C$95))</f>
        <v>0</v>
      </c>
      <c r="E85" s="119">
        <f t="shared" ref="E85:E97" si="8">IF(H85=0,0,((C85-B85)/B85))</f>
        <v>0</v>
      </c>
      <c r="F85" s="41"/>
      <c r="G85" s="7">
        <f t="shared" si="5"/>
        <v>932540</v>
      </c>
      <c r="H85" s="7">
        <f t="shared" si="6"/>
        <v>0</v>
      </c>
      <c r="I85" s="30"/>
      <c r="J85" s="30"/>
      <c r="K85" s="30"/>
    </row>
    <row r="86" spans="1:11" x14ac:dyDescent="0.15">
      <c r="A86" s="71" t="s">
        <v>57</v>
      </c>
      <c r="B86" s="153">
        <f>'2. Monthly Worksheet'!B86</f>
        <v>0</v>
      </c>
      <c r="C86" s="153">
        <f>'2. Monthly Worksheet'!O86</f>
        <v>0</v>
      </c>
      <c r="D86" s="118">
        <f t="shared" si="7"/>
        <v>0</v>
      </c>
      <c r="E86" s="119">
        <f t="shared" si="8"/>
        <v>0</v>
      </c>
      <c r="F86" s="41"/>
      <c r="G86" s="7">
        <f t="shared" si="5"/>
        <v>932540</v>
      </c>
      <c r="H86" s="7">
        <f t="shared" si="6"/>
        <v>0</v>
      </c>
      <c r="I86" s="30"/>
      <c r="J86" s="30"/>
      <c r="K86" s="30"/>
    </row>
    <row r="87" spans="1:11" x14ac:dyDescent="0.15">
      <c r="A87" s="71" t="s">
        <v>58</v>
      </c>
      <c r="B87" s="153">
        <f>'2. Monthly Worksheet'!B87</f>
        <v>0</v>
      </c>
      <c r="C87" s="153">
        <f>'2. Monthly Worksheet'!O87</f>
        <v>0</v>
      </c>
      <c r="D87" s="118">
        <f t="shared" si="7"/>
        <v>0</v>
      </c>
      <c r="E87" s="119">
        <f t="shared" si="8"/>
        <v>0</v>
      </c>
      <c r="F87" s="41"/>
      <c r="G87" s="7">
        <f t="shared" si="5"/>
        <v>932540</v>
      </c>
      <c r="H87" s="7">
        <f t="shared" si="6"/>
        <v>0</v>
      </c>
      <c r="I87" s="30"/>
      <c r="J87" s="30"/>
      <c r="K87" s="30"/>
    </row>
    <row r="88" spans="1:11" x14ac:dyDescent="0.15">
      <c r="A88" s="71" t="s">
        <v>59</v>
      </c>
      <c r="B88" s="153">
        <f>'2. Monthly Worksheet'!B88</f>
        <v>0</v>
      </c>
      <c r="C88" s="153">
        <f>'2. Monthly Worksheet'!O88</f>
        <v>0</v>
      </c>
      <c r="D88" s="118">
        <f t="shared" si="7"/>
        <v>0</v>
      </c>
      <c r="E88" s="119">
        <f t="shared" si="8"/>
        <v>0</v>
      </c>
      <c r="F88" s="41"/>
      <c r="G88" s="7">
        <f t="shared" si="5"/>
        <v>932540</v>
      </c>
      <c r="H88" s="7">
        <f t="shared" si="6"/>
        <v>0</v>
      </c>
      <c r="I88" s="30"/>
      <c r="J88" s="30"/>
      <c r="K88" s="30"/>
    </row>
    <row r="89" spans="1:11" x14ac:dyDescent="0.15">
      <c r="A89" s="71" t="s">
        <v>33</v>
      </c>
      <c r="B89" s="154">
        <f>'2. Monthly Worksheet'!B89</f>
        <v>0</v>
      </c>
      <c r="C89" s="154">
        <f>'2. Monthly Worksheet'!O89</f>
        <v>0</v>
      </c>
      <c r="D89" s="120">
        <f t="shared" si="7"/>
        <v>0</v>
      </c>
      <c r="E89" s="121">
        <f t="shared" si="8"/>
        <v>0</v>
      </c>
      <c r="F89" s="41"/>
      <c r="G89" s="7">
        <f t="shared" si="5"/>
        <v>932540</v>
      </c>
      <c r="H89" s="7">
        <f t="shared" si="6"/>
        <v>0</v>
      </c>
      <c r="I89" s="30"/>
      <c r="J89" s="30"/>
      <c r="K89" s="30"/>
    </row>
    <row r="90" spans="1:11" x14ac:dyDescent="0.15">
      <c r="A90" s="55" t="s">
        <v>84</v>
      </c>
      <c r="B90" s="50">
        <f>SUM(B84:B89)</f>
        <v>0</v>
      </c>
      <c r="C90" s="138">
        <f>SUM(C84:C89)</f>
        <v>0</v>
      </c>
      <c r="D90" s="122">
        <f t="shared" si="7"/>
        <v>0</v>
      </c>
      <c r="E90" s="123">
        <f t="shared" si="8"/>
        <v>0</v>
      </c>
      <c r="F90" s="41"/>
      <c r="G90" s="7">
        <f t="shared" si="5"/>
        <v>932540</v>
      </c>
      <c r="H90" s="7">
        <f t="shared" si="6"/>
        <v>0</v>
      </c>
      <c r="I90" s="30"/>
      <c r="J90" s="30"/>
      <c r="K90" s="30"/>
    </row>
    <row r="91" spans="1:11" x14ac:dyDescent="0.15">
      <c r="A91" s="71"/>
      <c r="B91" s="69"/>
      <c r="C91" s="147"/>
      <c r="D91" s="133"/>
      <c r="E91" s="133"/>
      <c r="F91" s="41"/>
      <c r="G91" s="7">
        <f t="shared" si="5"/>
        <v>932540</v>
      </c>
      <c r="H91" s="7">
        <f t="shared" si="6"/>
        <v>0</v>
      </c>
      <c r="I91" s="53"/>
      <c r="J91" s="30"/>
      <c r="K91" s="30"/>
    </row>
    <row r="92" spans="1:11" x14ac:dyDescent="0.15">
      <c r="A92" s="55" t="s">
        <v>85</v>
      </c>
      <c r="B92" s="50">
        <f>+B30+B37+B47+B62+B71+B81+B90</f>
        <v>620000</v>
      </c>
      <c r="C92" s="138">
        <f>+C30+C37+C47+C62+C71+C81+C90</f>
        <v>932540</v>
      </c>
      <c r="D92" s="122">
        <f t="shared" si="7"/>
        <v>1</v>
      </c>
      <c r="E92" s="123">
        <f t="shared" si="8"/>
        <v>0.50409677419354837</v>
      </c>
      <c r="F92" s="41"/>
      <c r="G92" s="7">
        <f t="shared" si="5"/>
        <v>932540</v>
      </c>
      <c r="H92" s="7">
        <f t="shared" si="6"/>
        <v>620000</v>
      </c>
      <c r="I92" s="53"/>
      <c r="J92" s="30"/>
      <c r="K92" s="30"/>
    </row>
    <row r="93" spans="1:11" ht="17.25" customHeight="1" x14ac:dyDescent="0.15">
      <c r="A93" s="55" t="s">
        <v>86</v>
      </c>
      <c r="B93" s="50">
        <f>+B53</f>
        <v>0</v>
      </c>
      <c r="C93" s="138">
        <f>+C53</f>
        <v>0</v>
      </c>
      <c r="D93" s="122">
        <f t="shared" si="7"/>
        <v>0</v>
      </c>
      <c r="E93" s="123">
        <f t="shared" si="8"/>
        <v>0</v>
      </c>
      <c r="F93" s="41"/>
      <c r="G93" s="7">
        <f t="shared" si="5"/>
        <v>932540</v>
      </c>
      <c r="H93" s="7">
        <f t="shared" si="6"/>
        <v>0</v>
      </c>
      <c r="I93" s="53"/>
      <c r="J93" s="30"/>
      <c r="K93" s="30"/>
    </row>
    <row r="94" spans="1:11" ht="17.25" customHeight="1" x14ac:dyDescent="0.15">
      <c r="A94" s="55"/>
      <c r="B94" s="68"/>
      <c r="C94" s="148"/>
      <c r="D94" s="133"/>
      <c r="E94" s="133"/>
      <c r="F94" s="41"/>
      <c r="G94" s="7">
        <f t="shared" si="5"/>
        <v>932540</v>
      </c>
      <c r="H94" s="7">
        <f t="shared" si="6"/>
        <v>0</v>
      </c>
      <c r="I94" s="53"/>
      <c r="J94" s="30"/>
      <c r="K94" s="30"/>
    </row>
    <row r="95" spans="1:11" ht="14" thickBot="1" x14ac:dyDescent="0.2">
      <c r="A95" s="2" t="s">
        <v>87</v>
      </c>
      <c r="B95" s="108">
        <f>+B92+B93</f>
        <v>620000</v>
      </c>
      <c r="C95" s="149">
        <f>+C92+C93</f>
        <v>932540</v>
      </c>
      <c r="D95" s="8">
        <f t="shared" si="7"/>
        <v>1</v>
      </c>
      <c r="E95" s="9">
        <f t="shared" si="8"/>
        <v>0.50409677419354837</v>
      </c>
      <c r="F95" s="41"/>
      <c r="G95" s="7">
        <f t="shared" si="5"/>
        <v>932540</v>
      </c>
      <c r="H95" s="7">
        <f t="shared" si="6"/>
        <v>620000</v>
      </c>
      <c r="I95" s="53"/>
      <c r="J95" s="30"/>
      <c r="K95" s="30"/>
    </row>
    <row r="96" spans="1:11" x14ac:dyDescent="0.15">
      <c r="A96" s="71"/>
      <c r="B96" s="57"/>
      <c r="C96" s="140"/>
      <c r="D96" s="116"/>
      <c r="E96" s="116"/>
      <c r="F96" s="41"/>
      <c r="G96" s="7">
        <f t="shared" si="5"/>
        <v>932540</v>
      </c>
      <c r="H96" s="7">
        <f t="shared" si="6"/>
        <v>0</v>
      </c>
      <c r="I96" s="53"/>
      <c r="J96" s="30"/>
      <c r="K96" s="30"/>
    </row>
    <row r="97" spans="1:11" ht="14" thickBot="1" x14ac:dyDescent="0.2">
      <c r="A97" s="72" t="s">
        <v>88</v>
      </c>
      <c r="B97" s="108">
        <f>B95-B7</f>
        <v>420000</v>
      </c>
      <c r="C97" s="150">
        <f>C95-C7</f>
        <v>734540</v>
      </c>
      <c r="D97" s="117">
        <f t="shared" si="7"/>
        <v>0.78767666802496406</v>
      </c>
      <c r="E97" s="117">
        <f t="shared" si="8"/>
        <v>0.74890476190476185</v>
      </c>
      <c r="F97" s="51"/>
      <c r="G97" s="7">
        <f t="shared" si="5"/>
        <v>932540</v>
      </c>
      <c r="H97" s="7">
        <f t="shared" si="6"/>
        <v>420000</v>
      </c>
      <c r="I97" s="53"/>
      <c r="J97" s="30"/>
      <c r="K97" s="30"/>
    </row>
    <row r="98" spans="1:11" x14ac:dyDescent="0.15">
      <c r="A98" s="30"/>
      <c r="B98" s="30"/>
      <c r="C98" s="151"/>
      <c r="D98" s="112"/>
      <c r="E98" s="112"/>
      <c r="F98" s="53"/>
      <c r="I98" s="30"/>
      <c r="J98" s="30"/>
      <c r="K98" s="30"/>
    </row>
    <row r="99" spans="1:11" x14ac:dyDescent="0.15">
      <c r="A99" s="30"/>
      <c r="B99" s="30"/>
      <c r="C99" s="151"/>
      <c r="D99" s="112"/>
      <c r="E99" s="112"/>
      <c r="F99" s="30"/>
      <c r="I99" s="30"/>
      <c r="J99" s="30"/>
      <c r="K99" s="30"/>
    </row>
    <row r="100" spans="1:11" x14ac:dyDescent="0.15">
      <c r="A100" s="30"/>
      <c r="B100" s="30"/>
      <c r="C100" s="151"/>
      <c r="D100" s="112"/>
      <c r="E100" s="112"/>
      <c r="F100" s="30"/>
      <c r="I100" s="30"/>
      <c r="J100" s="30"/>
      <c r="K100" s="30"/>
    </row>
    <row r="101" spans="1:11" x14ac:dyDescent="0.15">
      <c r="A101" s="30"/>
      <c r="B101" s="30"/>
      <c r="C101" s="151"/>
      <c r="D101" s="112"/>
      <c r="E101" s="112"/>
      <c r="F101" s="30"/>
      <c r="I101" s="30"/>
      <c r="J101" s="30"/>
      <c r="K101" s="30"/>
    </row>
  </sheetData>
  <phoneticPr fontId="0" type="noConversion"/>
  <pageMargins left="0.49" right="0.33" top="0.55000000000000004" bottom="0.47" header="0.5" footer="0.19"/>
  <pageSetup scale="55" orientation="portrait" verticalDpi="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531485B0C104F9C58C50E30CD7832" ma:contentTypeVersion="4" ma:contentTypeDescription="Create a new document." ma:contentTypeScope="" ma:versionID="1dfccaadae0d2f0b848ad55bc03a2905">
  <xsd:schema xmlns:xsd="http://www.w3.org/2001/XMLSchema" xmlns:xs="http://www.w3.org/2001/XMLSchema" xmlns:p="http://schemas.microsoft.com/office/2006/metadata/properties" xmlns:ns2="0ea48c8c-38ab-43fa-892b-dc8a284a5f0d" targetNamespace="http://schemas.microsoft.com/office/2006/metadata/properties" ma:root="true" ma:fieldsID="2d2e5abe0c8f91bc85a8371e13ced834" ns2:_="">
    <xsd:import namespace="0ea48c8c-38ab-43fa-892b-dc8a284a5f0d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a48c8c-38ab-43fa-892b-dc8a284a5f0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purl.oclc.org/ooxml/officeDocument/customXml" ds:itemID="{3D769172-9CAB-48D3-BB2C-02E3640B08E9}">
  <ds:schemaRefs>
    <ds:schemaRef ds:uri="http://schemas.microsoft.com/sharepoint/v3/contenttype/forms"/>
  </ds:schemaRefs>
</ds:datastoreItem>
</file>

<file path=customXml/itemProps2.xml><?xml version="1.0" encoding="utf-8"?>
<ds:datastoreItem xmlns:ds="http://purl.oclc.org/ooxml/officeDocument/customXml" ds:itemID="{BA7FE19C-46C9-46B9-A7D7-1130D4037F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ea48c8c-38ab-43fa-892b-dc8a284a5f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1. Instructions</vt:lpstr>
      <vt:lpstr>2. Monthly Worksheet</vt:lpstr>
      <vt:lpstr>3. Department Budget</vt:lpstr>
      <vt:lpstr>'1. Instructions'!Print_Area</vt:lpstr>
      <vt:lpstr>'2. Monthly Worksheet'!Print_Area</vt:lpstr>
      <vt:lpstr>'3. Department Budget'!Print_Area</vt:lpstr>
      <vt:lpstr>'3. Department Budget'!Print_Titles</vt:lpstr>
    </vt:vector>
  </TitlesOfParts>
  <Manager/>
  <Company>Hervé Gallot for EPITA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International Masters</dc:title>
  <dc:subject>Finance for IT Managers: IT Department Budget New Corp.</dc:subject>
  <dc:creator>Hervé Gallot</dc:creator>
  <cp:keywords/>
  <dc:description/>
  <cp:lastModifiedBy>Joshua Musa</cp:lastModifiedBy>
  <cp:lastPrinted>2015-03-29T16:13:54Z</cp:lastPrinted>
  <dcterms:created xsi:type="dcterms:W3CDTF">2004-06-16T14:13:05Z</dcterms:created>
  <dcterms:modified xsi:type="dcterms:W3CDTF">2025-11-18T12:08:33Z</dcterms:modified>
  <cp:category/>
</cp:coreProperties>
</file>